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EdgeInvesting\"/>
    </mc:Choice>
  </mc:AlternateContent>
  <xr:revisionPtr revIDLastSave="0" documentId="13_ncr:1_{5D04BCDA-6CF0-4366-84BA-974B28213401}" xr6:coauthVersionLast="47" xr6:coauthVersionMax="47" xr10:uidLastSave="{00000000-0000-0000-0000-000000000000}"/>
  <bookViews>
    <workbookView xWindow="-120" yWindow="-120" windowWidth="20730" windowHeight="11040" xr2:uid="{98CB385C-E188-4640-A798-378284F67447}"/>
  </bookViews>
  <sheets>
    <sheet name="Stock Histor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3" l="1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3" i="3"/>
  <c r="I9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Q4" i="3"/>
  <c r="T4" i="3" s="1"/>
  <c r="Q5" i="3"/>
  <c r="Q6" i="3"/>
  <c r="Q7" i="3"/>
  <c r="Q8" i="3"/>
  <c r="T8" i="3" s="1"/>
  <c r="Q9" i="3"/>
  <c r="Q10" i="3"/>
  <c r="Q11" i="3"/>
  <c r="Q12" i="3"/>
  <c r="T12" i="3" s="1"/>
  <c r="Q13" i="3"/>
  <c r="Q14" i="3"/>
  <c r="Q15" i="3"/>
  <c r="Q16" i="3"/>
  <c r="T16" i="3" s="1"/>
  <c r="Q17" i="3"/>
  <c r="Q18" i="3"/>
  <c r="Q19" i="3"/>
  <c r="Q20" i="3"/>
  <c r="T20" i="3" s="1"/>
  <c r="Q21" i="3"/>
  <c r="Q22" i="3"/>
  <c r="Q23" i="3"/>
  <c r="Q24" i="3"/>
  <c r="T24" i="3" s="1"/>
  <c r="Q25" i="3"/>
  <c r="Q26" i="3"/>
  <c r="Q27" i="3"/>
  <c r="Q28" i="3"/>
  <c r="Q29" i="3"/>
  <c r="Q30" i="3"/>
  <c r="Q31" i="3"/>
  <c r="Q32" i="3"/>
  <c r="T32" i="3" s="1"/>
  <c r="Q33" i="3"/>
  <c r="Q34" i="3"/>
  <c r="Q35" i="3"/>
  <c r="Q36" i="3"/>
  <c r="Q37" i="3"/>
  <c r="Q38" i="3"/>
  <c r="Q39" i="3"/>
  <c r="Q40" i="3"/>
  <c r="T40" i="3" s="1"/>
  <c r="Q41" i="3"/>
  <c r="Q42" i="3"/>
  <c r="Q43" i="3"/>
  <c r="Q44" i="3"/>
  <c r="Q45" i="3"/>
  <c r="Q46" i="3"/>
  <c r="Q47" i="3"/>
  <c r="Q48" i="3"/>
  <c r="T48" i="3" s="1"/>
  <c r="Q49" i="3"/>
  <c r="Q50" i="3"/>
  <c r="Q51" i="3"/>
  <c r="T51" i="3" s="1"/>
  <c r="Q52" i="3"/>
  <c r="Q53" i="3"/>
  <c r="Q54" i="3"/>
  <c r="Q55" i="3"/>
  <c r="Q56" i="3"/>
  <c r="T56" i="3" s="1"/>
  <c r="Q57" i="3"/>
  <c r="Q58" i="3"/>
  <c r="Q59" i="3"/>
  <c r="Q60" i="3"/>
  <c r="Q61" i="3"/>
  <c r="Q62" i="3"/>
  <c r="Q63" i="3"/>
  <c r="Q64" i="3"/>
  <c r="T64" i="3" s="1"/>
  <c r="Q65" i="3"/>
  <c r="Q66" i="3"/>
  <c r="Q67" i="3"/>
  <c r="Q68" i="3"/>
  <c r="Q69" i="3"/>
  <c r="Q70" i="3"/>
  <c r="Q71" i="3"/>
  <c r="Q72" i="3"/>
  <c r="T72" i="3" s="1"/>
  <c r="Q73" i="3"/>
  <c r="Q74" i="3"/>
  <c r="Q75" i="3"/>
  <c r="Q76" i="3"/>
  <c r="Q77" i="3"/>
  <c r="Q78" i="3"/>
  <c r="Q79" i="3"/>
  <c r="Q80" i="3"/>
  <c r="T80" i="3" s="1"/>
  <c r="Q81" i="3"/>
  <c r="Q82" i="3"/>
  <c r="Q83" i="3"/>
  <c r="Q84" i="3"/>
  <c r="Q85" i="3"/>
  <c r="Q86" i="3"/>
  <c r="Q87" i="3"/>
  <c r="Q88" i="3"/>
  <c r="T88" i="3" s="1"/>
  <c r="Q89" i="3"/>
  <c r="Q90" i="3"/>
  <c r="Q91" i="3"/>
  <c r="Q92" i="3"/>
  <c r="Q93" i="3"/>
  <c r="Q94" i="3"/>
  <c r="Q95" i="3"/>
  <c r="Q96" i="3"/>
  <c r="T96" i="3" s="1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T115" i="3" s="1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T179" i="3" s="1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N218" i="3"/>
  <c r="N219" i="3"/>
  <c r="N220" i="3"/>
  <c r="N221" i="3"/>
  <c r="L218" i="3"/>
  <c r="L219" i="3"/>
  <c r="L220" i="3"/>
  <c r="L221" i="3"/>
  <c r="K218" i="3"/>
  <c r="K219" i="3"/>
  <c r="K220" i="3"/>
  <c r="K221" i="3"/>
  <c r="J218" i="3"/>
  <c r="J219" i="3"/>
  <c r="J220" i="3"/>
  <c r="J221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S3" i="3"/>
  <c r="R3" i="3"/>
  <c r="Q3" i="3"/>
  <c r="T214" i="3" l="1"/>
  <c r="T206" i="3"/>
  <c r="T198" i="3"/>
  <c r="T190" i="3"/>
  <c r="T182" i="3"/>
  <c r="T174" i="3"/>
  <c r="T166" i="3"/>
  <c r="T158" i="3"/>
  <c r="T150" i="3"/>
  <c r="T142" i="3"/>
  <c r="T134" i="3"/>
  <c r="T126" i="3"/>
  <c r="T118" i="3"/>
  <c r="T110" i="3"/>
  <c r="T102" i="3"/>
  <c r="T94" i="3"/>
  <c r="T86" i="3"/>
  <c r="T78" i="3"/>
  <c r="T70" i="3"/>
  <c r="T62" i="3"/>
  <c r="T54" i="3"/>
  <c r="T46" i="3"/>
  <c r="T38" i="3"/>
  <c r="T30" i="3"/>
  <c r="T22" i="3"/>
  <c r="T14" i="3"/>
  <c r="T6" i="3"/>
  <c r="T219" i="3"/>
  <c r="T211" i="3"/>
  <c r="T203" i="3"/>
  <c r="T195" i="3"/>
  <c r="T187" i="3"/>
  <c r="T171" i="3"/>
  <c r="T163" i="3"/>
  <c r="T155" i="3"/>
  <c r="T147" i="3"/>
  <c r="T139" i="3"/>
  <c r="T131" i="3"/>
  <c r="T123" i="3"/>
  <c r="T107" i="3"/>
  <c r="T99" i="3"/>
  <c r="T91" i="3"/>
  <c r="T83" i="3"/>
  <c r="T75" i="3"/>
  <c r="T67" i="3"/>
  <c r="T59" i="3"/>
  <c r="T43" i="3"/>
  <c r="T35" i="3"/>
  <c r="T27" i="3"/>
  <c r="T19" i="3"/>
  <c r="T11" i="3"/>
  <c r="T215" i="3"/>
  <c r="T207" i="3"/>
  <c r="T199" i="3"/>
  <c r="T191" i="3"/>
  <c r="T183" i="3"/>
  <c r="T175" i="3"/>
  <c r="T167" i="3"/>
  <c r="T159" i="3"/>
  <c r="T151" i="3"/>
  <c r="T143" i="3"/>
  <c r="T135" i="3"/>
  <c r="T127" i="3"/>
  <c r="T119" i="3"/>
  <c r="T111" i="3"/>
  <c r="T103" i="3"/>
  <c r="T95" i="3"/>
  <c r="T87" i="3"/>
  <c r="T79" i="3"/>
  <c r="T71" i="3"/>
  <c r="T63" i="3"/>
  <c r="T55" i="3"/>
  <c r="T47" i="3"/>
  <c r="T39" i="3"/>
  <c r="T31" i="3"/>
  <c r="T23" i="3"/>
  <c r="T15" i="3"/>
  <c r="T7" i="3"/>
  <c r="T221" i="3"/>
  <c r="T213" i="3"/>
  <c r="T205" i="3"/>
  <c r="T197" i="3"/>
  <c r="T189" i="3"/>
  <c r="T181" i="3"/>
  <c r="T173" i="3"/>
  <c r="T165" i="3"/>
  <c r="T157" i="3"/>
  <c r="T149" i="3"/>
  <c r="T141" i="3"/>
  <c r="T133" i="3"/>
  <c r="T125" i="3"/>
  <c r="T117" i="3"/>
  <c r="T109" i="3"/>
  <c r="T101" i="3"/>
  <c r="T93" i="3"/>
  <c r="T85" i="3"/>
  <c r="T77" i="3"/>
  <c r="T69" i="3"/>
  <c r="T61" i="3"/>
  <c r="T53" i="3"/>
  <c r="T45" i="3"/>
  <c r="T37" i="3"/>
  <c r="T29" i="3"/>
  <c r="T21" i="3"/>
  <c r="T13" i="3"/>
  <c r="T5" i="3"/>
  <c r="T220" i="3"/>
  <c r="T212" i="3"/>
  <c r="T204" i="3"/>
  <c r="T196" i="3"/>
  <c r="T188" i="3"/>
  <c r="T180" i="3"/>
  <c r="T172" i="3"/>
  <c r="T164" i="3"/>
  <c r="T156" i="3"/>
  <c r="T148" i="3"/>
  <c r="T140" i="3"/>
  <c r="T132" i="3"/>
  <c r="T124" i="3"/>
  <c r="T116" i="3"/>
  <c r="T108" i="3"/>
  <c r="T100" i="3"/>
  <c r="T92" i="3"/>
  <c r="T84" i="3"/>
  <c r="T76" i="3"/>
  <c r="T68" i="3"/>
  <c r="T60" i="3"/>
  <c r="T52" i="3"/>
  <c r="T44" i="3"/>
  <c r="T36" i="3"/>
  <c r="T28" i="3"/>
  <c r="T218" i="3"/>
  <c r="T210" i="3"/>
  <c r="T202" i="3"/>
  <c r="T194" i="3"/>
  <c r="T186" i="3"/>
  <c r="T178" i="3"/>
  <c r="T170" i="3"/>
  <c r="T162" i="3"/>
  <c r="T154" i="3"/>
  <c r="T146" i="3"/>
  <c r="T138" i="3"/>
  <c r="T130" i="3"/>
  <c r="T122" i="3"/>
  <c r="T114" i="3"/>
  <c r="T106" i="3"/>
  <c r="T98" i="3"/>
  <c r="T90" i="3"/>
  <c r="T82" i="3"/>
  <c r="T74" i="3"/>
  <c r="T66" i="3"/>
  <c r="T58" i="3"/>
  <c r="T50" i="3"/>
  <c r="T42" i="3"/>
  <c r="T34" i="3"/>
  <c r="T26" i="3"/>
  <c r="T18" i="3"/>
  <c r="T10" i="3"/>
  <c r="T217" i="3"/>
  <c r="T209" i="3"/>
  <c r="T201" i="3"/>
  <c r="T193" i="3"/>
  <c r="T185" i="3"/>
  <c r="T177" i="3"/>
  <c r="T169" i="3"/>
  <c r="T161" i="3"/>
  <c r="T153" i="3"/>
  <c r="T145" i="3"/>
  <c r="T137" i="3"/>
  <c r="T129" i="3"/>
  <c r="T121" i="3"/>
  <c r="T113" i="3"/>
  <c r="T105" i="3"/>
  <c r="T97" i="3"/>
  <c r="T89" i="3"/>
  <c r="T81" i="3"/>
  <c r="T73" i="3"/>
  <c r="T65" i="3"/>
  <c r="T57" i="3"/>
  <c r="T49" i="3"/>
  <c r="T41" i="3"/>
  <c r="T33" i="3"/>
  <c r="T25" i="3"/>
  <c r="T17" i="3"/>
  <c r="T9" i="3"/>
  <c r="T216" i="3"/>
  <c r="T208" i="3"/>
  <c r="T200" i="3"/>
  <c r="T192" i="3"/>
  <c r="T184" i="3"/>
  <c r="T176" i="3"/>
  <c r="T168" i="3"/>
  <c r="T160" i="3"/>
  <c r="T152" i="3"/>
  <c r="T144" i="3"/>
  <c r="T136" i="3"/>
  <c r="T128" i="3"/>
  <c r="T120" i="3"/>
  <c r="T112" i="3"/>
  <c r="T104" i="3"/>
  <c r="T3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K199" i="3"/>
  <c r="K181" i="3"/>
  <c r="K177" i="3"/>
  <c r="K173" i="3"/>
  <c r="K169" i="3"/>
  <c r="K165" i="3"/>
  <c r="K161" i="3"/>
  <c r="K157" i="3"/>
  <c r="K153" i="3"/>
  <c r="K149" i="3"/>
  <c r="L145" i="3"/>
  <c r="K144" i="3"/>
  <c r="J143" i="3"/>
  <c r="L137" i="3"/>
  <c r="K136" i="3"/>
  <c r="J135" i="3"/>
  <c r="K204" i="3"/>
  <c r="J181" i="3"/>
  <c r="J177" i="3"/>
  <c r="J173" i="3"/>
  <c r="J169" i="3"/>
  <c r="J165" i="3"/>
  <c r="J161" i="3"/>
  <c r="J157" i="3"/>
  <c r="J153" i="3"/>
  <c r="J149" i="3"/>
  <c r="K145" i="3"/>
  <c r="J144" i="3"/>
  <c r="L138" i="3"/>
  <c r="K137" i="3"/>
  <c r="J136" i="3"/>
  <c r="K201" i="3"/>
  <c r="K196" i="3"/>
  <c r="K194" i="3"/>
  <c r="K192" i="3"/>
  <c r="K190" i="3"/>
  <c r="K188" i="3"/>
  <c r="K186" i="3"/>
  <c r="K184" i="3"/>
  <c r="K178" i="3"/>
  <c r="K174" i="3"/>
  <c r="K170" i="3"/>
  <c r="K166" i="3"/>
  <c r="K162" i="3"/>
  <c r="K158" i="3"/>
  <c r="K154" i="3"/>
  <c r="K150" i="3"/>
  <c r="K146" i="3"/>
  <c r="J145" i="3"/>
  <c r="L139" i="3"/>
  <c r="K138" i="3"/>
  <c r="J137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K198" i="3"/>
  <c r="K182" i="3"/>
  <c r="J178" i="3"/>
  <c r="J174" i="3"/>
  <c r="J170" i="3"/>
  <c r="J166" i="3"/>
  <c r="J162" i="3"/>
  <c r="J158" i="3"/>
  <c r="J154" i="3"/>
  <c r="J150" i="3"/>
  <c r="J146" i="3"/>
  <c r="L140" i="3"/>
  <c r="K139" i="3"/>
  <c r="J138" i="3"/>
  <c r="K200" i="3"/>
  <c r="J179" i="3"/>
  <c r="J175" i="3"/>
  <c r="J171" i="3"/>
  <c r="J167" i="3"/>
  <c r="J163" i="3"/>
  <c r="J159" i="3"/>
  <c r="J155" i="3"/>
  <c r="J151" i="3"/>
  <c r="J147" i="3"/>
  <c r="L142" i="3"/>
  <c r="K141" i="3"/>
  <c r="J140" i="3"/>
  <c r="L134" i="3"/>
  <c r="K133" i="3"/>
  <c r="K132" i="3"/>
  <c r="K131" i="3"/>
  <c r="K130" i="3"/>
  <c r="K129" i="3"/>
  <c r="K128" i="3"/>
  <c r="K127" i="3"/>
  <c r="K126" i="3"/>
  <c r="K125" i="3"/>
  <c r="K205" i="3"/>
  <c r="K197" i="3"/>
  <c r="K195" i="3"/>
  <c r="K193" i="3"/>
  <c r="K191" i="3"/>
  <c r="K189" i="3"/>
  <c r="K187" i="3"/>
  <c r="K185" i="3"/>
  <c r="K183" i="3"/>
  <c r="K180" i="3"/>
  <c r="K176" i="3"/>
  <c r="K172" i="3"/>
  <c r="J182" i="3"/>
  <c r="K171" i="3"/>
  <c r="K163" i="3"/>
  <c r="J160" i="3"/>
  <c r="K156" i="3"/>
  <c r="L133" i="3"/>
  <c r="J128" i="3"/>
  <c r="L125" i="3"/>
  <c r="K123" i="3"/>
  <c r="K121" i="3"/>
  <c r="K119" i="3"/>
  <c r="K117" i="3"/>
  <c r="K115" i="3"/>
  <c r="K113" i="3"/>
  <c r="L111" i="3"/>
  <c r="J110" i="3"/>
  <c r="L106" i="3"/>
  <c r="K105" i="3"/>
  <c r="J104" i="3"/>
  <c r="J176" i="3"/>
  <c r="K159" i="3"/>
  <c r="J156" i="3"/>
  <c r="K152" i="3"/>
  <c r="K142" i="3"/>
  <c r="J139" i="3"/>
  <c r="L136" i="3"/>
  <c r="J133" i="3"/>
  <c r="L130" i="3"/>
  <c r="J125" i="3"/>
  <c r="J123" i="3"/>
  <c r="J121" i="3"/>
  <c r="J119" i="3"/>
  <c r="J117" i="3"/>
  <c r="J115" i="3"/>
  <c r="J113" i="3"/>
  <c r="K111" i="3"/>
  <c r="L107" i="3"/>
  <c r="K106" i="3"/>
  <c r="J105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K175" i="3"/>
  <c r="K155" i="3"/>
  <c r="J152" i="3"/>
  <c r="K148" i="3"/>
  <c r="J142" i="3"/>
  <c r="J130" i="3"/>
  <c r="L127" i="3"/>
  <c r="J111" i="3"/>
  <c r="L108" i="3"/>
  <c r="K107" i="3"/>
  <c r="J180" i="3"/>
  <c r="K151" i="3"/>
  <c r="J148" i="3"/>
  <c r="L141" i="3"/>
  <c r="L135" i="3"/>
  <c r="L132" i="3"/>
  <c r="J127" i="3"/>
  <c r="L124" i="3"/>
  <c r="L122" i="3"/>
  <c r="L120" i="3"/>
  <c r="L118" i="3"/>
  <c r="L116" i="3"/>
  <c r="L114" i="3"/>
  <c r="L112" i="3"/>
  <c r="K108" i="3"/>
  <c r="J107" i="3"/>
  <c r="K203" i="3"/>
  <c r="K179" i="3"/>
  <c r="K147" i="3"/>
  <c r="L144" i="3"/>
  <c r="J141" i="3"/>
  <c r="K135" i="3"/>
  <c r="J132" i="3"/>
  <c r="L129" i="3"/>
  <c r="K124" i="3"/>
  <c r="K122" i="3"/>
  <c r="K120" i="3"/>
  <c r="K118" i="3"/>
  <c r="K116" i="3"/>
  <c r="K114" i="3"/>
  <c r="K112" i="3"/>
  <c r="L109" i="3"/>
  <c r="J108" i="3"/>
  <c r="L102" i="3"/>
  <c r="K101" i="3"/>
  <c r="J100" i="3"/>
  <c r="K202" i="3"/>
  <c r="K168" i="3"/>
  <c r="J129" i="3"/>
  <c r="L126" i="3"/>
  <c r="J124" i="3"/>
  <c r="J122" i="3"/>
  <c r="J120" i="3"/>
  <c r="J118" i="3"/>
  <c r="J116" i="3"/>
  <c r="J114" i="3"/>
  <c r="J112" i="3"/>
  <c r="K109" i="3"/>
  <c r="L103" i="3"/>
  <c r="K102" i="3"/>
  <c r="J183" i="3"/>
  <c r="J172" i="3"/>
  <c r="K167" i="3"/>
  <c r="J164" i="3"/>
  <c r="K160" i="3"/>
  <c r="K143" i="3"/>
  <c r="J134" i="3"/>
  <c r="J131" i="3"/>
  <c r="L128" i="3"/>
  <c r="L123" i="3"/>
  <c r="L121" i="3"/>
  <c r="L119" i="3"/>
  <c r="L117" i="3"/>
  <c r="L115" i="3"/>
  <c r="L113" i="3"/>
  <c r="K110" i="3"/>
  <c r="L131" i="3"/>
  <c r="K103" i="3"/>
  <c r="J101" i="3"/>
  <c r="K99" i="3"/>
  <c r="N96" i="3"/>
  <c r="J95" i="3"/>
  <c r="N92" i="3"/>
  <c r="J91" i="3"/>
  <c r="N88" i="3"/>
  <c r="J87" i="3"/>
  <c r="N84" i="3"/>
  <c r="J83" i="3"/>
  <c r="N80" i="3"/>
  <c r="J79" i="3"/>
  <c r="N76" i="3"/>
  <c r="J75" i="3"/>
  <c r="N72" i="3"/>
  <c r="K71" i="3"/>
  <c r="J70" i="3"/>
  <c r="N65" i="3"/>
  <c r="K63" i="3"/>
  <c r="J62" i="3"/>
  <c r="N57" i="3"/>
  <c r="K55" i="3"/>
  <c r="J54" i="3"/>
  <c r="N50" i="3"/>
  <c r="L48" i="3"/>
  <c r="J47" i="3"/>
  <c r="N42" i="3"/>
  <c r="L40" i="3"/>
  <c r="J39" i="3"/>
  <c r="N34" i="3"/>
  <c r="L32" i="3"/>
  <c r="J31" i="3"/>
  <c r="N26" i="3"/>
  <c r="L24" i="3"/>
  <c r="J23" i="3"/>
  <c r="L13" i="3"/>
  <c r="N10" i="3"/>
  <c r="N7" i="3"/>
  <c r="N3" i="3"/>
  <c r="L10" i="3"/>
  <c r="L3" i="3"/>
  <c r="N21" i="3"/>
  <c r="N17" i="3"/>
  <c r="N6" i="3"/>
  <c r="L105" i="3"/>
  <c r="J103" i="3"/>
  <c r="J99" i="3"/>
  <c r="K96" i="3"/>
  <c r="K92" i="3"/>
  <c r="K88" i="3"/>
  <c r="K84" i="3"/>
  <c r="K80" i="3"/>
  <c r="K76" i="3"/>
  <c r="K72" i="3"/>
  <c r="J71" i="3"/>
  <c r="N66" i="3"/>
  <c r="K64" i="3"/>
  <c r="J63" i="3"/>
  <c r="N58" i="3"/>
  <c r="K56" i="3"/>
  <c r="J55" i="3"/>
  <c r="L49" i="3"/>
  <c r="J48" i="3"/>
  <c r="N43" i="3"/>
  <c r="L41" i="3"/>
  <c r="J40" i="3"/>
  <c r="N35" i="3"/>
  <c r="L33" i="3"/>
  <c r="J32" i="3"/>
  <c r="N27" i="3"/>
  <c r="L25" i="3"/>
  <c r="J24" i="3"/>
  <c r="N15" i="3"/>
  <c r="L7" i="3"/>
  <c r="L15" i="3"/>
  <c r="J126" i="3"/>
  <c r="L110" i="3"/>
  <c r="N97" i="3"/>
  <c r="J96" i="3"/>
  <c r="N93" i="3"/>
  <c r="J92" i="3"/>
  <c r="N89" i="3"/>
  <c r="J88" i="3"/>
  <c r="N85" i="3"/>
  <c r="J84" i="3"/>
  <c r="N81" i="3"/>
  <c r="J80" i="3"/>
  <c r="N77" i="3"/>
  <c r="J76" i="3"/>
  <c r="N73" i="3"/>
  <c r="J72" i="3"/>
  <c r="N67" i="3"/>
  <c r="K65" i="3"/>
  <c r="J64" i="3"/>
  <c r="N59" i="3"/>
  <c r="K57" i="3"/>
  <c r="J56" i="3"/>
  <c r="N51" i="3"/>
  <c r="L50" i="3"/>
  <c r="J49" i="3"/>
  <c r="N44" i="3"/>
  <c r="L42" i="3"/>
  <c r="J41" i="3"/>
  <c r="N36" i="3"/>
  <c r="L34" i="3"/>
  <c r="J33" i="3"/>
  <c r="N28" i="3"/>
  <c r="L26" i="3"/>
  <c r="J25" i="3"/>
  <c r="N19" i="3"/>
  <c r="N12" i="3"/>
  <c r="J109" i="3"/>
  <c r="L100" i="3"/>
  <c r="K97" i="3"/>
  <c r="K93" i="3"/>
  <c r="K89" i="3"/>
  <c r="K85" i="3"/>
  <c r="K81" i="3"/>
  <c r="K77" i="3"/>
  <c r="K73" i="3"/>
  <c r="N68" i="3"/>
  <c r="K66" i="3"/>
  <c r="J65" i="3"/>
  <c r="N60" i="3"/>
  <c r="K58" i="3"/>
  <c r="J57" i="3"/>
  <c r="N52" i="3"/>
  <c r="J50" i="3"/>
  <c r="N45" i="3"/>
  <c r="L43" i="3"/>
  <c r="J42" i="3"/>
  <c r="N37" i="3"/>
  <c r="L35" i="3"/>
  <c r="J34" i="3"/>
  <c r="N29" i="3"/>
  <c r="L27" i="3"/>
  <c r="J26" i="3"/>
  <c r="J168" i="3"/>
  <c r="K140" i="3"/>
  <c r="K104" i="3"/>
  <c r="K98" i="3"/>
  <c r="K94" i="3"/>
  <c r="K90" i="3"/>
  <c r="K86" i="3"/>
  <c r="K82" i="3"/>
  <c r="K78" i="3"/>
  <c r="K74" i="3"/>
  <c r="N70" i="3"/>
  <c r="K68" i="3"/>
  <c r="J67" i="3"/>
  <c r="N62" i="3"/>
  <c r="K60" i="3"/>
  <c r="J59" i="3"/>
  <c r="N54" i="3"/>
  <c r="K52" i="3"/>
  <c r="N47" i="3"/>
  <c r="L45" i="3"/>
  <c r="K164" i="3"/>
  <c r="J106" i="3"/>
  <c r="J85" i="3"/>
  <c r="J78" i="3"/>
  <c r="N74" i="3"/>
  <c r="J68" i="3"/>
  <c r="K62" i="3"/>
  <c r="J53" i="3"/>
  <c r="N46" i="3"/>
  <c r="J37" i="3"/>
  <c r="N32" i="3"/>
  <c r="L30" i="3"/>
  <c r="N23" i="3"/>
  <c r="L21" i="3"/>
  <c r="N18" i="3"/>
  <c r="N14" i="3"/>
  <c r="L5" i="3"/>
  <c r="L17" i="3"/>
  <c r="L4" i="3"/>
  <c r="J45" i="3"/>
  <c r="L12" i="3"/>
  <c r="J90" i="3"/>
  <c r="J38" i="3"/>
  <c r="L8" i="3"/>
  <c r="J93" i="3"/>
  <c r="J89" i="3"/>
  <c r="K59" i="3"/>
  <c r="N39" i="3"/>
  <c r="L104" i="3"/>
  <c r="N95" i="3"/>
  <c r="J81" i="3"/>
  <c r="J74" i="3"/>
  <c r="N61" i="3"/>
  <c r="N55" i="3"/>
  <c r="N49" i="3"/>
  <c r="L46" i="3"/>
  <c r="N41" i="3"/>
  <c r="L39" i="3"/>
  <c r="J30" i="3"/>
  <c r="N25" i="3"/>
  <c r="L18" i="3"/>
  <c r="L14" i="3"/>
  <c r="N9" i="3"/>
  <c r="N4" i="3"/>
  <c r="J27" i="3"/>
  <c r="L9" i="3"/>
  <c r="N48" i="3"/>
  <c r="L31" i="3"/>
  <c r="L19" i="3"/>
  <c r="L101" i="3"/>
  <c r="N82" i="3"/>
  <c r="N75" i="3"/>
  <c r="N53" i="3"/>
  <c r="L44" i="3"/>
  <c r="L28" i="3"/>
  <c r="L22" i="3"/>
  <c r="N78" i="3"/>
  <c r="K75" i="3"/>
  <c r="L47" i="3"/>
  <c r="L37" i="3"/>
  <c r="L143" i="3"/>
  <c r="N98" i="3"/>
  <c r="K95" i="3"/>
  <c r="N91" i="3"/>
  <c r="J77" i="3"/>
  <c r="K67" i="3"/>
  <c r="N64" i="3"/>
  <c r="K61" i="3"/>
  <c r="J58" i="3"/>
  <c r="J52" i="3"/>
  <c r="J46" i="3"/>
  <c r="J43" i="3"/>
  <c r="N38" i="3"/>
  <c r="L36" i="3"/>
  <c r="L23" i="3"/>
  <c r="N31" i="3"/>
  <c r="N13" i="3"/>
  <c r="J102" i="3"/>
  <c r="N69" i="3"/>
  <c r="L20" i="3"/>
  <c r="N86" i="3"/>
  <c r="J66" i="3"/>
  <c r="K54" i="3"/>
  <c r="N16" i="3"/>
  <c r="N56" i="3"/>
  <c r="J44" i="3"/>
  <c r="N5" i="3"/>
  <c r="K134" i="3"/>
  <c r="J98" i="3"/>
  <c r="N94" i="3"/>
  <c r="K91" i="3"/>
  <c r="N87" i="3"/>
  <c r="J73" i="3"/>
  <c r="K70" i="3"/>
  <c r="J61" i="3"/>
  <c r="J36" i="3"/>
  <c r="L29" i="3"/>
  <c r="N20" i="3"/>
  <c r="J94" i="3"/>
  <c r="N90" i="3"/>
  <c r="K87" i="3"/>
  <c r="N83" i="3"/>
  <c r="N63" i="3"/>
  <c r="J51" i="3"/>
  <c r="N40" i="3"/>
  <c r="L38" i="3"/>
  <c r="J29" i="3"/>
  <c r="N22" i="3"/>
  <c r="N8" i="3"/>
  <c r="J97" i="3"/>
  <c r="J60" i="3"/>
  <c r="N33" i="3"/>
  <c r="K79" i="3"/>
  <c r="N11" i="3"/>
  <c r="K100" i="3"/>
  <c r="J82" i="3"/>
  <c r="N71" i="3"/>
  <c r="J28" i="3"/>
  <c r="K83" i="3"/>
  <c r="N79" i="3"/>
  <c r="K69" i="3"/>
  <c r="N24" i="3"/>
  <c r="J69" i="3"/>
  <c r="N30" i="3"/>
  <c r="L16" i="3"/>
  <c r="K53" i="3"/>
  <c r="L11" i="3"/>
  <c r="J86" i="3"/>
  <c r="J35" i="3"/>
  <c r="L6" i="3"/>
  <c r="J22" i="3"/>
  <c r="O75" i="3" l="1"/>
  <c r="O26" i="3"/>
  <c r="O54" i="3"/>
  <c r="O87" i="3"/>
  <c r="O119" i="3"/>
  <c r="O127" i="3"/>
  <c r="O135" i="3"/>
  <c r="O143" i="3"/>
  <c r="O147" i="3"/>
  <c r="O155" i="3"/>
  <c r="O163" i="3"/>
  <c r="O171" i="3"/>
  <c r="O179" i="3"/>
  <c r="O187" i="3"/>
  <c r="O195" i="3"/>
  <c r="O203" i="3"/>
  <c r="O211" i="3"/>
  <c r="O219" i="3"/>
  <c r="O84" i="3"/>
  <c r="O21" i="3"/>
  <c r="O36" i="3"/>
  <c r="O102" i="3"/>
  <c r="O103" i="3"/>
  <c r="O77" i="3"/>
  <c r="O95" i="3"/>
  <c r="O22" i="3"/>
  <c r="O62" i="3"/>
  <c r="O45" i="3"/>
  <c r="O49" i="3"/>
  <c r="O90" i="3"/>
  <c r="O106" i="3"/>
  <c r="O56" i="3"/>
  <c r="O79" i="3"/>
  <c r="O63" i="3"/>
  <c r="O113" i="3"/>
  <c r="O121" i="3"/>
  <c r="O129" i="3"/>
  <c r="O137" i="3"/>
  <c r="O145" i="3"/>
  <c r="O149" i="3"/>
  <c r="O157" i="3"/>
  <c r="O165" i="3"/>
  <c r="O173" i="3"/>
  <c r="O181" i="3"/>
  <c r="O189" i="3"/>
  <c r="O197" i="3"/>
  <c r="O205" i="3"/>
  <c r="O213" i="3"/>
  <c r="O221" i="3"/>
  <c r="O17" i="3"/>
  <c r="O58" i="3"/>
  <c r="O28" i="3"/>
  <c r="O39" i="3"/>
  <c r="O112" i="3"/>
  <c r="O144" i="3"/>
  <c r="O148" i="3"/>
  <c r="O180" i="3"/>
  <c r="O212" i="3"/>
  <c r="O107" i="3"/>
  <c r="O42" i="3"/>
  <c r="O72" i="3"/>
  <c r="O101" i="3"/>
  <c r="O122" i="3"/>
  <c r="O174" i="3"/>
  <c r="O198" i="3"/>
  <c r="O53" i="3"/>
  <c r="O99" i="3"/>
  <c r="O51" i="3"/>
  <c r="O91" i="3"/>
  <c r="O74" i="3"/>
  <c r="O59" i="3"/>
  <c r="O32" i="3"/>
  <c r="O94" i="3"/>
  <c r="O110" i="3"/>
  <c r="O40" i="3"/>
  <c r="O20" i="3"/>
  <c r="O47" i="3"/>
  <c r="O115" i="3"/>
  <c r="O123" i="3"/>
  <c r="O131" i="3"/>
  <c r="O139" i="3"/>
  <c r="M218" i="3"/>
  <c r="O151" i="3"/>
  <c r="O159" i="3"/>
  <c r="O167" i="3"/>
  <c r="O175" i="3"/>
  <c r="O183" i="3"/>
  <c r="O191" i="3"/>
  <c r="O199" i="3"/>
  <c r="O207" i="3"/>
  <c r="O215" i="3"/>
  <c r="O69" i="3"/>
  <c r="O67" i="3"/>
  <c r="O64" i="3"/>
  <c r="O34" i="3"/>
  <c r="O78" i="3"/>
  <c r="O43" i="3"/>
  <c r="O100" i="3"/>
  <c r="O44" i="3"/>
  <c r="O52" i="3"/>
  <c r="O97" i="3"/>
  <c r="O136" i="3"/>
  <c r="O156" i="3"/>
  <c r="O188" i="3"/>
  <c r="O220" i="3"/>
  <c r="O37" i="3"/>
  <c r="O65" i="3"/>
  <c r="O114" i="3"/>
  <c r="O166" i="3"/>
  <c r="O206" i="3"/>
  <c r="O92" i="3"/>
  <c r="O46" i="3"/>
  <c r="O104" i="3"/>
  <c r="O38" i="3"/>
  <c r="O27" i="3"/>
  <c r="O57" i="3"/>
  <c r="O23" i="3"/>
  <c r="O70" i="3"/>
  <c r="O89" i="3"/>
  <c r="O105" i="3"/>
  <c r="O116" i="3"/>
  <c r="O124" i="3"/>
  <c r="O132" i="3"/>
  <c r="O140" i="3"/>
  <c r="O152" i="3"/>
  <c r="O160" i="3"/>
  <c r="O168" i="3"/>
  <c r="O176" i="3"/>
  <c r="O184" i="3"/>
  <c r="O192" i="3"/>
  <c r="O200" i="3"/>
  <c r="O208" i="3"/>
  <c r="O216" i="3"/>
  <c r="O66" i="3"/>
  <c r="O35" i="3"/>
  <c r="O29" i="3"/>
  <c r="O88" i="3"/>
  <c r="O81" i="3"/>
  <c r="O120" i="3"/>
  <c r="O164" i="3"/>
  <c r="O204" i="3"/>
  <c r="O33" i="3"/>
  <c r="O25" i="3"/>
  <c r="O85" i="3"/>
  <c r="O130" i="3"/>
  <c r="O150" i="3"/>
  <c r="O182" i="3"/>
  <c r="O214" i="3"/>
  <c r="O76" i="3"/>
  <c r="O18" i="3"/>
  <c r="O82" i="3"/>
  <c r="O61" i="3"/>
  <c r="O31" i="3"/>
  <c r="O60" i="3"/>
  <c r="O83" i="3"/>
  <c r="O50" i="3"/>
  <c r="O73" i="3"/>
  <c r="O80" i="3"/>
  <c r="O98" i="3"/>
  <c r="O19" i="3"/>
  <c r="O117" i="3"/>
  <c r="O125" i="3"/>
  <c r="O133" i="3"/>
  <c r="O141" i="3"/>
  <c r="O153" i="3"/>
  <c r="O161" i="3"/>
  <c r="O169" i="3"/>
  <c r="O177" i="3"/>
  <c r="O185" i="3"/>
  <c r="O193" i="3"/>
  <c r="O201" i="3"/>
  <c r="O209" i="3"/>
  <c r="O217" i="3"/>
  <c r="O86" i="3"/>
  <c r="O128" i="3"/>
  <c r="O172" i="3"/>
  <c r="O196" i="3"/>
  <c r="O24" i="3"/>
  <c r="O68" i="3"/>
  <c r="O138" i="3"/>
  <c r="O158" i="3"/>
  <c r="O190" i="3"/>
  <c r="O96" i="3"/>
  <c r="O111" i="3"/>
  <c r="O108" i="3"/>
  <c r="O41" i="3"/>
  <c r="O48" i="3"/>
  <c r="O71" i="3"/>
  <c r="O30" i="3"/>
  <c r="O55" i="3"/>
  <c r="O93" i="3"/>
  <c r="O109" i="3"/>
  <c r="O118" i="3"/>
  <c r="O126" i="3"/>
  <c r="O134" i="3"/>
  <c r="O142" i="3"/>
  <c r="O146" i="3"/>
  <c r="O154" i="3"/>
  <c r="O162" i="3"/>
  <c r="O170" i="3"/>
  <c r="O178" i="3"/>
  <c r="O186" i="3"/>
  <c r="O194" i="3"/>
  <c r="O202" i="3"/>
  <c r="O210" i="3"/>
  <c r="O218" i="3"/>
  <c r="M219" i="3"/>
  <c r="M220" i="3"/>
  <c r="M221" i="3"/>
  <c r="M69" i="3"/>
  <c r="M132" i="3"/>
  <c r="M145" i="3"/>
  <c r="M154" i="3"/>
  <c r="M72" i="3"/>
  <c r="M80" i="3"/>
  <c r="M88" i="3"/>
  <c r="M96" i="3"/>
  <c r="M104" i="3"/>
  <c r="M112" i="3"/>
  <c r="M155" i="3"/>
  <c r="M156" i="3"/>
  <c r="M170" i="3"/>
  <c r="M178" i="3"/>
  <c r="M186" i="3"/>
  <c r="M194" i="3"/>
  <c r="M202" i="3"/>
  <c r="M210" i="3"/>
  <c r="M55" i="3"/>
  <c r="M41" i="3"/>
  <c r="M58" i="3"/>
  <c r="M64" i="3"/>
  <c r="M47" i="3"/>
  <c r="M59" i="3"/>
  <c r="M135" i="3"/>
  <c r="M63" i="3"/>
  <c r="M37" i="3"/>
  <c r="M49" i="3"/>
  <c r="M45" i="3"/>
  <c r="M34" i="3"/>
  <c r="M134" i="3"/>
  <c r="M137" i="3"/>
  <c r="M160" i="3"/>
  <c r="M73" i="3"/>
  <c r="M81" i="3"/>
  <c r="M89" i="3"/>
  <c r="M97" i="3"/>
  <c r="M105" i="3"/>
  <c r="M113" i="3"/>
  <c r="M171" i="3"/>
  <c r="M179" i="3"/>
  <c r="M187" i="3"/>
  <c r="M195" i="3"/>
  <c r="M203" i="3"/>
  <c r="M211" i="3"/>
  <c r="M38" i="3"/>
  <c r="M50" i="3"/>
  <c r="M125" i="3"/>
  <c r="M35" i="3"/>
  <c r="M162" i="3"/>
  <c r="M65" i="3"/>
  <c r="M31" i="3"/>
  <c r="M24" i="3"/>
  <c r="M54" i="3"/>
  <c r="M60" i="3"/>
  <c r="M136" i="3"/>
  <c r="M163" i="3"/>
  <c r="M139" i="3"/>
  <c r="M74" i="3"/>
  <c r="M82" i="3"/>
  <c r="M90" i="3"/>
  <c r="M98" i="3"/>
  <c r="M106" i="3"/>
  <c r="M114" i="3"/>
  <c r="M144" i="3"/>
  <c r="M172" i="3"/>
  <c r="M180" i="3"/>
  <c r="M188" i="3"/>
  <c r="M196" i="3"/>
  <c r="M204" i="3"/>
  <c r="M212" i="3"/>
  <c r="M23" i="3"/>
  <c r="M57" i="3"/>
  <c r="M25" i="3"/>
  <c r="M26" i="3"/>
  <c r="M75" i="3"/>
  <c r="M99" i="3"/>
  <c r="M126" i="3"/>
  <c r="M130" i="3"/>
  <c r="M158" i="3"/>
  <c r="M165" i="3"/>
  <c r="M173" i="3"/>
  <c r="M197" i="3"/>
  <c r="M39" i="3"/>
  <c r="M66" i="3"/>
  <c r="M28" i="3"/>
  <c r="M29" i="3"/>
  <c r="M140" i="3"/>
  <c r="M143" i="3"/>
  <c r="M76" i="3"/>
  <c r="M84" i="3"/>
  <c r="M92" i="3"/>
  <c r="M100" i="3"/>
  <c r="M108" i="3"/>
  <c r="M116" i="3"/>
  <c r="M161" i="3"/>
  <c r="M166" i="3"/>
  <c r="M174" i="3"/>
  <c r="M182" i="3"/>
  <c r="M190" i="3"/>
  <c r="M198" i="3"/>
  <c r="M206" i="3"/>
  <c r="M214" i="3"/>
  <c r="M44" i="3"/>
  <c r="M32" i="3"/>
  <c r="M61" i="3"/>
  <c r="M22" i="3"/>
  <c r="M138" i="3"/>
  <c r="M128" i="3"/>
  <c r="M141" i="3"/>
  <c r="M91" i="3"/>
  <c r="M115" i="3"/>
  <c r="M189" i="3"/>
  <c r="M213" i="3"/>
  <c r="M48" i="3"/>
  <c r="M42" i="3"/>
  <c r="M120" i="3"/>
  <c r="M27" i="3"/>
  <c r="M46" i="3"/>
  <c r="M129" i="3"/>
  <c r="M52" i="3"/>
  <c r="M124" i="3"/>
  <c r="O16" i="3"/>
  <c r="M67" i="3"/>
  <c r="M150" i="3"/>
  <c r="M142" i="3"/>
  <c r="M122" i="3"/>
  <c r="M148" i="3"/>
  <c r="M127" i="3"/>
  <c r="M77" i="3"/>
  <c r="M85" i="3"/>
  <c r="M93" i="3"/>
  <c r="M101" i="3"/>
  <c r="M109" i="3"/>
  <c r="M117" i="3"/>
  <c r="M152" i="3"/>
  <c r="M164" i="3"/>
  <c r="M167" i="3"/>
  <c r="M175" i="3"/>
  <c r="M183" i="3"/>
  <c r="M191" i="3"/>
  <c r="M199" i="3"/>
  <c r="M207" i="3"/>
  <c r="M215" i="3"/>
  <c r="M33" i="3"/>
  <c r="M36" i="3"/>
  <c r="M56" i="3"/>
  <c r="M51" i="3"/>
  <c r="M83" i="3"/>
  <c r="M107" i="3"/>
  <c r="M181" i="3"/>
  <c r="M205" i="3"/>
  <c r="M30" i="3"/>
  <c r="M123" i="3"/>
  <c r="M40" i="3"/>
  <c r="M119" i="3"/>
  <c r="M53" i="3"/>
  <c r="M43" i="3"/>
  <c r="M131" i="3"/>
  <c r="M70" i="3"/>
  <c r="M78" i="3"/>
  <c r="M86" i="3"/>
  <c r="M94" i="3"/>
  <c r="M102" i="3"/>
  <c r="M110" i="3"/>
  <c r="M118" i="3"/>
  <c r="M149" i="3"/>
  <c r="M159" i="3"/>
  <c r="M157" i="3"/>
  <c r="M168" i="3"/>
  <c r="M176" i="3"/>
  <c r="M184" i="3"/>
  <c r="M192" i="3"/>
  <c r="M200" i="3"/>
  <c r="M208" i="3"/>
  <c r="M216" i="3"/>
  <c r="M62" i="3"/>
  <c r="M68" i="3"/>
  <c r="M147" i="3"/>
  <c r="M121" i="3"/>
  <c r="M133" i="3"/>
  <c r="M151" i="3"/>
  <c r="M146" i="3"/>
  <c r="M71" i="3"/>
  <c r="M79" i="3"/>
  <c r="M87" i="3"/>
  <c r="M95" i="3"/>
  <c r="M103" i="3"/>
  <c r="M111" i="3"/>
  <c r="M153" i="3"/>
  <c r="M169" i="3"/>
  <c r="M177" i="3"/>
  <c r="M185" i="3"/>
  <c r="M193" i="3"/>
  <c r="M201" i="3"/>
  <c r="M209" i="3"/>
  <c r="M217" i="3"/>
</calcChain>
</file>

<file path=xl/sharedStrings.xml><?xml version="1.0" encoding="utf-8"?>
<sst xmlns="http://schemas.openxmlformats.org/spreadsheetml/2006/main" count="23" uniqueCount="23">
  <si>
    <t>Cum Daily Returns</t>
  </si>
  <si>
    <t>Rolling Volatility</t>
  </si>
  <si>
    <t>7 Day MA</t>
  </si>
  <si>
    <t>20 Day MA</t>
  </si>
  <si>
    <t>50 Day MA</t>
  </si>
  <si>
    <t>High Low</t>
  </si>
  <si>
    <t>High Low 20Day MA</t>
  </si>
  <si>
    <t>20 Day Volume MA</t>
  </si>
  <si>
    <t>1Q(25%)</t>
  </si>
  <si>
    <t>2Q(Median)</t>
  </si>
  <si>
    <t>3Q(75%)</t>
  </si>
  <si>
    <t>IQR</t>
  </si>
  <si>
    <t>Quartile:</t>
  </si>
  <si>
    <t>Date</t>
  </si>
  <si>
    <t>Close</t>
  </si>
  <si>
    <t>Open</t>
  </si>
  <si>
    <t>High</t>
  </si>
  <si>
    <t>Low</t>
  </si>
  <si>
    <t>Vol.</t>
  </si>
  <si>
    <t xml:space="preserve">Change </t>
  </si>
  <si>
    <t>Stock History Data:</t>
  </si>
  <si>
    <t>Calculated Columns: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</si>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</sst>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164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0" fontId="2" fillId="2" borderId="0" xfId="0" applyFont="1" applyFill="1"/>
    <xf numFmtId="14" fontId="0" fillId="0" borderId="0" xfId="0" applyNumberFormat="1"/>
    <xf numFmtId="0" fontId="2" fillId="2" borderId="0" xfId="0" applyFont="1" applyFill="1" applyAlignment="1">
      <alignment horizontal="center" vertical="center"/>
    </xf>
    <xf numFmtId="165" fontId="0" fillId="0" borderId="0" xfId="1" applyNumberFormat="1" applyFont="1"/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Border="1" applyAlignment="1">
      <alignment horizontal="center"/>
    </xf>
    <xf numFmtId="165" fontId="2" fillId="2" borderId="0" xfId="1" applyNumberFormat="1" applyFont="1" applyFill="1" applyAlignment="1">
      <alignment horizontal="center"/>
    </xf>
    <xf numFmtId="165" fontId="0" fillId="0" borderId="0" xfId="0" applyNumberFormat="1"/>
    <xf numFmtId="43" fontId="4" fillId="5" borderId="0" xfId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8068-4C1B-4DB4-85FC-69D8B001F3E4}">
  <dimension ref="A1:T221"/>
  <sheetViews>
    <sheetView tabSelected="1" zoomScale="85" zoomScaleNormal="85" workbookViewId="0">
      <selection activeCell="M7" sqref="M7"/>
    </sheetView>
  </sheetViews>
  <sheetFormatPr defaultRowHeight="15" x14ac:dyDescent="0.25"/>
  <cols>
    <col min="1" max="1" width="10.42578125" bestFit="1" customWidth="1"/>
    <col min="6" max="6" width="16.28515625" style="9" bestFit="1" customWidth="1"/>
    <col min="7" max="7" width="16.28515625" style="9" customWidth="1"/>
    <col min="8" max="8" width="11.5703125" style="9" bestFit="1" customWidth="1"/>
    <col min="9" max="9" width="10.42578125" style="1" customWidth="1"/>
    <col min="10" max="11" width="11.42578125" style="1" bestFit="1" customWidth="1"/>
    <col min="12" max="12" width="8.7109375" bestFit="1" customWidth="1"/>
    <col min="13" max="13" width="19.85546875" style="1" bestFit="1" customWidth="1"/>
    <col min="14" max="14" width="18.140625" style="2" bestFit="1" customWidth="1"/>
    <col min="15" max="15" width="15.85546875" bestFit="1" customWidth="1"/>
    <col min="16" max="16" width="17.5703125" bestFit="1" customWidth="1"/>
    <col min="17" max="17" width="8.42578125" bestFit="1" customWidth="1"/>
    <col min="18" max="18" width="11.42578125" bestFit="1" customWidth="1"/>
  </cols>
  <sheetData>
    <row r="1" spans="1:20" ht="15.75" x14ac:dyDescent="0.25">
      <c r="A1" s="12" t="s">
        <v>20</v>
      </c>
      <c r="B1" s="14"/>
      <c r="C1" s="14"/>
      <c r="D1" s="14"/>
      <c r="E1" s="14"/>
      <c r="F1" s="14"/>
      <c r="G1" s="14"/>
      <c r="H1" s="17" t="s">
        <v>21</v>
      </c>
      <c r="I1" s="17"/>
      <c r="J1" s="17"/>
      <c r="K1" s="17"/>
      <c r="L1" s="17"/>
      <c r="M1" s="17"/>
      <c r="N1" s="17"/>
      <c r="O1" s="17"/>
      <c r="P1" s="17"/>
      <c r="Q1" s="13" t="s">
        <v>12</v>
      </c>
      <c r="R1" s="13"/>
      <c r="S1" s="13"/>
      <c r="T1" s="13"/>
    </row>
    <row r="2" spans="1:20" ht="15.75" thickBot="1" x14ac:dyDescent="0.3">
      <c r="A2" s="10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5" t="s">
        <v>22</v>
      </c>
      <c r="I2" s="11" t="s">
        <v>2</v>
      </c>
      <c r="J2" s="4" t="s">
        <v>3</v>
      </c>
      <c r="K2" s="4" t="s">
        <v>4</v>
      </c>
      <c r="L2" s="3" t="s">
        <v>5</v>
      </c>
      <c r="M2" s="4" t="s">
        <v>6</v>
      </c>
      <c r="N2" s="5" t="s">
        <v>0</v>
      </c>
      <c r="O2" s="6" t="s">
        <v>1</v>
      </c>
      <c r="P2" s="6" t="s">
        <v>7</v>
      </c>
      <c r="Q2" s="8" t="s">
        <v>8</v>
      </c>
      <c r="R2" s="8" t="s">
        <v>9</v>
      </c>
      <c r="S2" s="8" t="s">
        <v>10</v>
      </c>
      <c r="T2" s="8" t="s">
        <v>11</v>
      </c>
    </row>
    <row r="3" spans="1:20" ht="15.75" thickTop="1" x14ac:dyDescent="0.25">
      <c r="A3" s="7">
        <v>45659</v>
      </c>
      <c r="B3">
        <v>144.02000000000001</v>
      </c>
      <c r="C3">
        <v>145.22999999999999</v>
      </c>
      <c r="D3">
        <v>145.77000000000001</v>
      </c>
      <c r="E3">
        <v>143.78</v>
      </c>
      <c r="F3">
        <v>6.05</v>
      </c>
      <c r="G3">
        <v>-0.41</v>
      </c>
      <c r="H3" s="9">
        <f>F3*1000000</f>
        <v>6050000</v>
      </c>
      <c r="L3">
        <f t="shared" ref="L3:L66" si="0">D3-E3</f>
        <v>1.9900000000000091</v>
      </c>
      <c r="N3" s="2">
        <f t="shared" ref="N3:N66" si="1">(B3/$B$3)-1</f>
        <v>0</v>
      </c>
      <c r="Q3">
        <f>_xlfn.QUARTILE.EXC($B:$B,1)</f>
        <v>153.66</v>
      </c>
      <c r="R3">
        <f>_xlfn.QUARTILE.EXC($B:$B,2)</f>
        <v>162.84</v>
      </c>
      <c r="S3">
        <f>_xlfn.QUARTILE.EXC($B:$B,3)</f>
        <v>176.69</v>
      </c>
      <c r="T3">
        <f>S3-Q3</f>
        <v>23.03</v>
      </c>
    </row>
    <row r="4" spans="1:20" x14ac:dyDescent="0.25">
      <c r="A4" s="7">
        <v>45660</v>
      </c>
      <c r="B4">
        <v>144.19</v>
      </c>
      <c r="C4">
        <v>144.07</v>
      </c>
      <c r="D4">
        <v>144.57</v>
      </c>
      <c r="E4">
        <v>143.62</v>
      </c>
      <c r="F4">
        <v>5.88</v>
      </c>
      <c r="G4">
        <v>0.12</v>
      </c>
      <c r="H4" s="9">
        <f t="shared" ref="H4:H67" si="2">F4*1000000</f>
        <v>5880000</v>
      </c>
      <c r="L4">
        <f t="shared" si="0"/>
        <v>0.94999999999998863</v>
      </c>
      <c r="N4" s="2">
        <f t="shared" si="1"/>
        <v>1.1803916122758995E-3</v>
      </c>
      <c r="Q4">
        <f t="shared" ref="Q4:Q67" si="3">_xlfn.QUARTILE.EXC($B:$B,1)</f>
        <v>153.66</v>
      </c>
      <c r="R4">
        <f t="shared" ref="R4:R67" si="4">_xlfn.QUARTILE.EXC($B:$B,2)</f>
        <v>162.84</v>
      </c>
      <c r="S4">
        <f t="shared" ref="S4:S67" si="5">_xlfn.QUARTILE.EXC($B:$B,3)</f>
        <v>176.69</v>
      </c>
      <c r="T4">
        <f t="shared" ref="T4:T67" si="6">S4-Q4</f>
        <v>23.03</v>
      </c>
    </row>
    <row r="5" spans="1:20" x14ac:dyDescent="0.25">
      <c r="A5" s="7">
        <v>45663</v>
      </c>
      <c r="B5">
        <v>143.66</v>
      </c>
      <c r="C5">
        <v>143.51</v>
      </c>
      <c r="D5">
        <v>144.82</v>
      </c>
      <c r="E5">
        <v>142.93</v>
      </c>
      <c r="F5">
        <v>7.91</v>
      </c>
      <c r="G5">
        <v>-0.37</v>
      </c>
      <c r="H5" s="9">
        <f t="shared" si="2"/>
        <v>7910000</v>
      </c>
      <c r="L5">
        <f t="shared" si="0"/>
        <v>1.8899999999999864</v>
      </c>
      <c r="N5" s="2">
        <f t="shared" si="1"/>
        <v>-2.4996528259965123E-3</v>
      </c>
      <c r="Q5">
        <f t="shared" si="3"/>
        <v>153.66</v>
      </c>
      <c r="R5">
        <f t="shared" si="4"/>
        <v>162.84</v>
      </c>
      <c r="S5">
        <f t="shared" si="5"/>
        <v>176.69</v>
      </c>
      <c r="T5">
        <f t="shared" si="6"/>
        <v>23.03</v>
      </c>
    </row>
    <row r="6" spans="1:20" x14ac:dyDescent="0.25">
      <c r="A6" s="7">
        <v>45664</v>
      </c>
      <c r="B6">
        <v>146.22999999999999</v>
      </c>
      <c r="C6">
        <v>143.76</v>
      </c>
      <c r="D6">
        <v>147.18</v>
      </c>
      <c r="E6">
        <v>143.59</v>
      </c>
      <c r="F6">
        <v>8.42</v>
      </c>
      <c r="G6">
        <v>1.79</v>
      </c>
      <c r="H6" s="9">
        <f t="shared" si="2"/>
        <v>8420000</v>
      </c>
      <c r="L6">
        <f t="shared" si="0"/>
        <v>3.5900000000000034</v>
      </c>
      <c r="N6" s="2">
        <f t="shared" si="1"/>
        <v>1.5345090959588692E-2</v>
      </c>
      <c r="Q6">
        <f t="shared" si="3"/>
        <v>153.66</v>
      </c>
      <c r="R6">
        <f t="shared" si="4"/>
        <v>162.84</v>
      </c>
      <c r="S6">
        <f t="shared" si="5"/>
        <v>176.69</v>
      </c>
      <c r="T6">
        <f t="shared" si="6"/>
        <v>23.03</v>
      </c>
    </row>
    <row r="7" spans="1:20" x14ac:dyDescent="0.25">
      <c r="A7" s="7">
        <v>45665</v>
      </c>
      <c r="B7">
        <v>142.27000000000001</v>
      </c>
      <c r="C7">
        <v>145.49</v>
      </c>
      <c r="D7">
        <v>145.59</v>
      </c>
      <c r="E7">
        <v>141.44</v>
      </c>
      <c r="F7">
        <v>11.18</v>
      </c>
      <c r="G7">
        <v>-2.71</v>
      </c>
      <c r="H7" s="9">
        <f t="shared" si="2"/>
        <v>11180000</v>
      </c>
      <c r="L7">
        <f t="shared" si="0"/>
        <v>4.1500000000000057</v>
      </c>
      <c r="N7" s="2">
        <f t="shared" si="1"/>
        <v>-1.2151090126371389E-2</v>
      </c>
      <c r="Q7">
        <f t="shared" si="3"/>
        <v>153.66</v>
      </c>
      <c r="R7">
        <f t="shared" si="4"/>
        <v>162.84</v>
      </c>
      <c r="S7">
        <f t="shared" si="5"/>
        <v>176.69</v>
      </c>
      <c r="T7">
        <f t="shared" si="6"/>
        <v>23.03</v>
      </c>
    </row>
    <row r="8" spans="1:20" x14ac:dyDescent="0.25">
      <c r="A8" s="7">
        <v>45667</v>
      </c>
      <c r="B8">
        <v>142.06</v>
      </c>
      <c r="C8">
        <v>141</v>
      </c>
      <c r="D8">
        <v>143.66999999999999</v>
      </c>
      <c r="E8">
        <v>140.68</v>
      </c>
      <c r="F8">
        <v>8.82</v>
      </c>
      <c r="G8">
        <v>-0.15</v>
      </c>
      <c r="H8" s="9">
        <f t="shared" si="2"/>
        <v>8820000</v>
      </c>
      <c r="L8">
        <f t="shared" si="0"/>
        <v>2.9899999999999807</v>
      </c>
      <c r="N8" s="2">
        <f t="shared" si="1"/>
        <v>-1.3609220941535938E-2</v>
      </c>
      <c r="Q8">
        <f t="shared" si="3"/>
        <v>153.66</v>
      </c>
      <c r="R8">
        <f t="shared" si="4"/>
        <v>162.84</v>
      </c>
      <c r="S8">
        <f t="shared" si="5"/>
        <v>176.69</v>
      </c>
      <c r="T8">
        <f t="shared" si="6"/>
        <v>23.03</v>
      </c>
    </row>
    <row r="9" spans="1:20" x14ac:dyDescent="0.25">
      <c r="A9" s="7">
        <v>45670</v>
      </c>
      <c r="B9">
        <v>144.47</v>
      </c>
      <c r="C9">
        <v>142.97999999999999</v>
      </c>
      <c r="D9">
        <v>145.07</v>
      </c>
      <c r="E9">
        <v>142.31</v>
      </c>
      <c r="F9">
        <v>10.38</v>
      </c>
      <c r="G9">
        <v>1.7</v>
      </c>
      <c r="H9" s="9">
        <f t="shared" si="2"/>
        <v>10380000</v>
      </c>
      <c r="I9" s="1">
        <f>AVERAGE(B3:B9)</f>
        <v>143.84285714285716</v>
      </c>
      <c r="L9">
        <f t="shared" si="0"/>
        <v>2.7599999999999909</v>
      </c>
      <c r="N9" s="2">
        <f t="shared" si="1"/>
        <v>3.1245660324954461E-3</v>
      </c>
      <c r="Q9">
        <f t="shared" si="3"/>
        <v>153.66</v>
      </c>
      <c r="R9">
        <f t="shared" si="4"/>
        <v>162.84</v>
      </c>
      <c r="S9">
        <f t="shared" si="5"/>
        <v>176.69</v>
      </c>
      <c r="T9">
        <f t="shared" si="6"/>
        <v>23.03</v>
      </c>
    </row>
    <row r="10" spans="1:20" x14ac:dyDescent="0.25">
      <c r="A10" s="7">
        <v>45671</v>
      </c>
      <c r="B10">
        <v>144.75</v>
      </c>
      <c r="C10">
        <v>144.5</v>
      </c>
      <c r="D10">
        <v>144.81</v>
      </c>
      <c r="E10">
        <v>142.86000000000001</v>
      </c>
      <c r="F10">
        <v>8.68</v>
      </c>
      <c r="G10">
        <v>0.19</v>
      </c>
      <c r="H10" s="9">
        <f t="shared" si="2"/>
        <v>8680000</v>
      </c>
      <c r="I10" s="1">
        <f t="shared" ref="I10:I73" si="7">AVERAGE(B4:B10)</f>
        <v>143.94714285714286</v>
      </c>
      <c r="L10">
        <f t="shared" si="0"/>
        <v>1.9499999999999886</v>
      </c>
      <c r="N10" s="2">
        <f t="shared" si="1"/>
        <v>5.0687404527147706E-3</v>
      </c>
      <c r="Q10">
        <f t="shared" si="3"/>
        <v>153.66</v>
      </c>
      <c r="R10">
        <f t="shared" si="4"/>
        <v>162.84</v>
      </c>
      <c r="S10">
        <f t="shared" si="5"/>
        <v>176.69</v>
      </c>
      <c r="T10">
        <f t="shared" si="6"/>
        <v>23.03</v>
      </c>
    </row>
    <row r="11" spans="1:20" x14ac:dyDescent="0.25">
      <c r="A11" s="7">
        <v>45672</v>
      </c>
      <c r="B11">
        <v>144.97</v>
      </c>
      <c r="C11">
        <v>145.31</v>
      </c>
      <c r="D11">
        <v>146.05000000000001</v>
      </c>
      <c r="E11">
        <v>144.26</v>
      </c>
      <c r="F11">
        <v>7.43</v>
      </c>
      <c r="G11">
        <v>0.15</v>
      </c>
      <c r="H11" s="9">
        <f t="shared" si="2"/>
        <v>7430000</v>
      </c>
      <c r="I11" s="1">
        <f t="shared" si="7"/>
        <v>144.05857142857144</v>
      </c>
      <c r="L11">
        <f t="shared" si="0"/>
        <v>1.7900000000000205</v>
      </c>
      <c r="N11" s="2">
        <f t="shared" si="1"/>
        <v>6.5963060686013986E-3</v>
      </c>
      <c r="Q11">
        <f t="shared" si="3"/>
        <v>153.66</v>
      </c>
      <c r="R11">
        <f t="shared" si="4"/>
        <v>162.84</v>
      </c>
      <c r="S11">
        <f t="shared" si="5"/>
        <v>176.69</v>
      </c>
      <c r="T11">
        <f t="shared" si="6"/>
        <v>23.03</v>
      </c>
    </row>
    <row r="12" spans="1:20" x14ac:dyDescent="0.25">
      <c r="A12" s="7">
        <v>45673</v>
      </c>
      <c r="B12">
        <v>147.77000000000001</v>
      </c>
      <c r="C12">
        <v>144.32</v>
      </c>
      <c r="D12">
        <v>148.07</v>
      </c>
      <c r="E12">
        <v>144.06</v>
      </c>
      <c r="F12">
        <v>8.9600000000000009</v>
      </c>
      <c r="G12">
        <v>1.93</v>
      </c>
      <c r="H12" s="9">
        <f t="shared" si="2"/>
        <v>8960000</v>
      </c>
      <c r="I12" s="1">
        <f t="shared" si="7"/>
        <v>144.64571428571429</v>
      </c>
      <c r="L12">
        <f t="shared" si="0"/>
        <v>4.0099999999999909</v>
      </c>
      <c r="N12" s="2">
        <f t="shared" si="1"/>
        <v>2.6038050270795754E-2</v>
      </c>
      <c r="Q12">
        <f t="shared" si="3"/>
        <v>153.66</v>
      </c>
      <c r="R12">
        <f t="shared" si="4"/>
        <v>162.84</v>
      </c>
      <c r="S12">
        <f t="shared" si="5"/>
        <v>176.69</v>
      </c>
      <c r="T12">
        <f t="shared" si="6"/>
        <v>23.03</v>
      </c>
    </row>
    <row r="13" spans="1:20" x14ac:dyDescent="0.25">
      <c r="A13" s="7">
        <v>45674</v>
      </c>
      <c r="B13">
        <v>147.03</v>
      </c>
      <c r="C13">
        <v>147.44</v>
      </c>
      <c r="D13">
        <v>148.38</v>
      </c>
      <c r="E13">
        <v>146.61000000000001</v>
      </c>
      <c r="F13">
        <v>10.77</v>
      </c>
      <c r="G13">
        <v>-0.5</v>
      </c>
      <c r="H13" s="9">
        <f t="shared" si="2"/>
        <v>10770000</v>
      </c>
      <c r="I13" s="1">
        <f t="shared" si="7"/>
        <v>144.76000000000002</v>
      </c>
      <c r="L13">
        <f t="shared" si="0"/>
        <v>1.7699999999999818</v>
      </c>
      <c r="N13" s="2">
        <f t="shared" si="1"/>
        <v>2.0899875017358571E-2</v>
      </c>
      <c r="Q13">
        <f t="shared" si="3"/>
        <v>153.66</v>
      </c>
      <c r="R13">
        <f t="shared" si="4"/>
        <v>162.84</v>
      </c>
      <c r="S13">
        <f t="shared" si="5"/>
        <v>176.69</v>
      </c>
      <c r="T13">
        <f t="shared" si="6"/>
        <v>23.03</v>
      </c>
    </row>
    <row r="14" spans="1:20" x14ac:dyDescent="0.25">
      <c r="A14" s="7">
        <v>45678</v>
      </c>
      <c r="B14">
        <v>148.15</v>
      </c>
      <c r="C14">
        <v>147.56</v>
      </c>
      <c r="D14">
        <v>148.86000000000001</v>
      </c>
      <c r="E14">
        <v>147.05000000000001</v>
      </c>
      <c r="F14">
        <v>11.11</v>
      </c>
      <c r="G14">
        <v>0.76</v>
      </c>
      <c r="H14" s="9">
        <f t="shared" si="2"/>
        <v>11110000</v>
      </c>
      <c r="I14" s="1">
        <f t="shared" si="7"/>
        <v>145.6</v>
      </c>
      <c r="L14">
        <f t="shared" si="0"/>
        <v>1.8100000000000023</v>
      </c>
      <c r="N14" s="2">
        <f t="shared" si="1"/>
        <v>2.8676572698236313E-2</v>
      </c>
      <c r="Q14">
        <f t="shared" si="3"/>
        <v>153.66</v>
      </c>
      <c r="R14">
        <f t="shared" si="4"/>
        <v>162.84</v>
      </c>
      <c r="S14">
        <f t="shared" si="5"/>
        <v>176.69</v>
      </c>
      <c r="T14">
        <f t="shared" si="6"/>
        <v>23.03</v>
      </c>
    </row>
    <row r="15" spans="1:20" x14ac:dyDescent="0.25">
      <c r="A15" s="7">
        <v>45679</v>
      </c>
      <c r="B15">
        <v>145.27000000000001</v>
      </c>
      <c r="C15">
        <v>144</v>
      </c>
      <c r="D15">
        <v>145.47</v>
      </c>
      <c r="E15">
        <v>142.11000000000001</v>
      </c>
      <c r="F15">
        <v>16.829999999999998</v>
      </c>
      <c r="G15">
        <v>-1.94</v>
      </c>
      <c r="H15" s="9">
        <f t="shared" si="2"/>
        <v>16830000</v>
      </c>
      <c r="I15" s="1">
        <f t="shared" si="7"/>
        <v>146.05857142857141</v>
      </c>
      <c r="L15">
        <f t="shared" si="0"/>
        <v>3.3599999999999852</v>
      </c>
      <c r="N15" s="2">
        <f t="shared" si="1"/>
        <v>8.6793500902653253E-3</v>
      </c>
      <c r="Q15">
        <f t="shared" si="3"/>
        <v>153.66</v>
      </c>
      <c r="R15">
        <f t="shared" si="4"/>
        <v>162.84</v>
      </c>
      <c r="S15">
        <f t="shared" si="5"/>
        <v>176.69</v>
      </c>
      <c r="T15">
        <f t="shared" si="6"/>
        <v>23.03</v>
      </c>
    </row>
    <row r="16" spans="1:20" x14ac:dyDescent="0.25">
      <c r="A16" s="7">
        <v>45680</v>
      </c>
      <c r="B16">
        <v>146.63999999999999</v>
      </c>
      <c r="C16">
        <v>145.44</v>
      </c>
      <c r="D16">
        <v>147.91</v>
      </c>
      <c r="E16">
        <v>144.81</v>
      </c>
      <c r="F16">
        <v>10.51</v>
      </c>
      <c r="G16">
        <v>0.94</v>
      </c>
      <c r="H16" s="9">
        <f t="shared" si="2"/>
        <v>10510000</v>
      </c>
      <c r="I16" s="1">
        <f t="shared" si="7"/>
        <v>146.36857142857141</v>
      </c>
      <c r="L16">
        <f t="shared" si="0"/>
        <v>3.0999999999999943</v>
      </c>
      <c r="N16" s="2">
        <f t="shared" si="1"/>
        <v>1.8191917789195822E-2</v>
      </c>
      <c r="O16">
        <f t="shared" ref="O16:O79" si="8">_xlfn.STDEV.P(N3:N16)</f>
        <v>1.2543390073159024E-2</v>
      </c>
      <c r="Q16">
        <f t="shared" si="3"/>
        <v>153.66</v>
      </c>
      <c r="R16">
        <f t="shared" si="4"/>
        <v>162.84</v>
      </c>
      <c r="S16">
        <f t="shared" si="5"/>
        <v>176.69</v>
      </c>
      <c r="T16">
        <f t="shared" si="6"/>
        <v>23.03</v>
      </c>
    </row>
    <row r="17" spans="1:20" x14ac:dyDescent="0.25">
      <c r="A17" s="7">
        <v>45681</v>
      </c>
      <c r="B17">
        <v>146.82</v>
      </c>
      <c r="C17">
        <v>146.80000000000001</v>
      </c>
      <c r="D17">
        <v>147.63</v>
      </c>
      <c r="E17">
        <v>146.38</v>
      </c>
      <c r="F17">
        <v>9.89</v>
      </c>
      <c r="G17">
        <v>0.12</v>
      </c>
      <c r="H17" s="9">
        <f t="shared" si="2"/>
        <v>9890000</v>
      </c>
      <c r="I17" s="1">
        <f t="shared" si="7"/>
        <v>146.66428571428568</v>
      </c>
      <c r="L17">
        <f t="shared" si="0"/>
        <v>1.25</v>
      </c>
      <c r="N17" s="2">
        <f t="shared" si="1"/>
        <v>1.9441744202193911E-2</v>
      </c>
      <c r="O17">
        <f t="shared" si="8"/>
        <v>1.270704861203247E-2</v>
      </c>
      <c r="Q17">
        <f t="shared" si="3"/>
        <v>153.66</v>
      </c>
      <c r="R17">
        <f t="shared" si="4"/>
        <v>162.84</v>
      </c>
      <c r="S17">
        <f t="shared" si="5"/>
        <v>176.69</v>
      </c>
      <c r="T17">
        <f t="shared" si="6"/>
        <v>23.03</v>
      </c>
    </row>
    <row r="18" spans="1:20" x14ac:dyDescent="0.25">
      <c r="A18" s="7">
        <v>45684</v>
      </c>
      <c r="B18">
        <v>152.88999999999999</v>
      </c>
      <c r="C18">
        <v>148.44999999999999</v>
      </c>
      <c r="D18">
        <v>153.44999999999999</v>
      </c>
      <c r="E18">
        <v>148</v>
      </c>
      <c r="F18">
        <v>15.15</v>
      </c>
      <c r="G18">
        <v>4.13</v>
      </c>
      <c r="H18" s="9">
        <f t="shared" si="2"/>
        <v>15150000</v>
      </c>
      <c r="I18" s="1">
        <f t="shared" si="7"/>
        <v>147.7957142857143</v>
      </c>
      <c r="L18">
        <f t="shared" si="0"/>
        <v>5.4499999999999886</v>
      </c>
      <c r="N18" s="2">
        <f t="shared" si="1"/>
        <v>6.1588668240522004E-2</v>
      </c>
      <c r="O18">
        <f t="shared" si="8"/>
        <v>1.8348052079508851E-2</v>
      </c>
      <c r="Q18">
        <f t="shared" si="3"/>
        <v>153.66</v>
      </c>
      <c r="R18">
        <f t="shared" si="4"/>
        <v>162.84</v>
      </c>
      <c r="S18">
        <f t="shared" si="5"/>
        <v>176.69</v>
      </c>
      <c r="T18">
        <f t="shared" si="6"/>
        <v>23.03</v>
      </c>
    </row>
    <row r="19" spans="1:20" x14ac:dyDescent="0.25">
      <c r="A19" s="7">
        <v>45685</v>
      </c>
      <c r="B19">
        <v>150.38</v>
      </c>
      <c r="C19">
        <v>152.66</v>
      </c>
      <c r="D19">
        <v>152.97</v>
      </c>
      <c r="E19">
        <v>150.30000000000001</v>
      </c>
      <c r="F19">
        <v>10.32</v>
      </c>
      <c r="G19">
        <v>-1.64</v>
      </c>
      <c r="H19" s="9">
        <f t="shared" si="2"/>
        <v>10320000</v>
      </c>
      <c r="I19" s="1">
        <f t="shared" si="7"/>
        <v>148.16857142857143</v>
      </c>
      <c r="L19">
        <f t="shared" si="0"/>
        <v>2.6699999999999875</v>
      </c>
      <c r="N19" s="2">
        <f t="shared" si="1"/>
        <v>4.4160533259269386E-2</v>
      </c>
      <c r="O19">
        <f t="shared" si="8"/>
        <v>1.9393921124104395E-2</v>
      </c>
      <c r="Q19">
        <f t="shared" si="3"/>
        <v>153.66</v>
      </c>
      <c r="R19">
        <f t="shared" si="4"/>
        <v>162.84</v>
      </c>
      <c r="S19">
        <f t="shared" si="5"/>
        <v>176.69</v>
      </c>
      <c r="T19">
        <f t="shared" si="6"/>
        <v>23.03</v>
      </c>
    </row>
    <row r="20" spans="1:20" x14ac:dyDescent="0.25">
      <c r="A20" s="7">
        <v>45686</v>
      </c>
      <c r="B20">
        <v>151.15</v>
      </c>
      <c r="C20">
        <v>150.5</v>
      </c>
      <c r="D20">
        <v>151.88</v>
      </c>
      <c r="E20">
        <v>150</v>
      </c>
      <c r="F20">
        <v>7.16</v>
      </c>
      <c r="G20">
        <v>0.51</v>
      </c>
      <c r="H20" s="9">
        <f t="shared" si="2"/>
        <v>7160000</v>
      </c>
      <c r="I20" s="1">
        <f t="shared" si="7"/>
        <v>148.75714285714284</v>
      </c>
      <c r="L20">
        <f t="shared" si="0"/>
        <v>1.8799999999999955</v>
      </c>
      <c r="N20" s="2">
        <f t="shared" si="1"/>
        <v>4.9507012914872917E-2</v>
      </c>
      <c r="O20">
        <f t="shared" si="8"/>
        <v>2.1154834136898518E-2</v>
      </c>
      <c r="Q20">
        <f t="shared" si="3"/>
        <v>153.66</v>
      </c>
      <c r="R20">
        <f t="shared" si="4"/>
        <v>162.84</v>
      </c>
      <c r="S20">
        <f t="shared" si="5"/>
        <v>176.69</v>
      </c>
      <c r="T20">
        <f t="shared" si="6"/>
        <v>23.03</v>
      </c>
    </row>
    <row r="21" spans="1:20" x14ac:dyDescent="0.25">
      <c r="A21" s="7">
        <v>45687</v>
      </c>
      <c r="B21">
        <v>152.87</v>
      </c>
      <c r="C21">
        <v>151.91</v>
      </c>
      <c r="D21">
        <v>154.13999999999999</v>
      </c>
      <c r="E21">
        <v>151.36000000000001</v>
      </c>
      <c r="F21">
        <v>8.91</v>
      </c>
      <c r="G21">
        <v>1.1399999999999999</v>
      </c>
      <c r="H21" s="9">
        <f t="shared" si="2"/>
        <v>8910000</v>
      </c>
      <c r="I21" s="1">
        <f t="shared" si="7"/>
        <v>149.43142857142857</v>
      </c>
      <c r="L21">
        <f t="shared" si="0"/>
        <v>2.7799999999999727</v>
      </c>
      <c r="N21" s="2">
        <f t="shared" si="1"/>
        <v>6.1449798639077846E-2</v>
      </c>
      <c r="O21">
        <f t="shared" si="8"/>
        <v>2.1889002766312358E-2</v>
      </c>
      <c r="Q21">
        <f t="shared" si="3"/>
        <v>153.66</v>
      </c>
      <c r="R21">
        <f t="shared" si="4"/>
        <v>162.84</v>
      </c>
      <c r="S21">
        <f t="shared" si="5"/>
        <v>176.69</v>
      </c>
      <c r="T21">
        <f t="shared" si="6"/>
        <v>23.03</v>
      </c>
    </row>
    <row r="22" spans="1:20" x14ac:dyDescent="0.25">
      <c r="A22" s="7">
        <v>45688</v>
      </c>
      <c r="B22">
        <v>152.15</v>
      </c>
      <c r="C22">
        <v>152.62</v>
      </c>
      <c r="D22">
        <v>153.18</v>
      </c>
      <c r="E22">
        <v>152.05000000000001</v>
      </c>
      <c r="F22">
        <v>8.4600000000000009</v>
      </c>
      <c r="G22">
        <v>-0.47</v>
      </c>
      <c r="H22" s="9">
        <f t="shared" si="2"/>
        <v>8460000</v>
      </c>
      <c r="I22" s="1">
        <f t="shared" si="7"/>
        <v>150.41428571428574</v>
      </c>
      <c r="J22" s="1">
        <f t="shared" ref="J22:J53" si="9">AVERAGE(B3:B22)</f>
        <v>146.887</v>
      </c>
      <c r="L22">
        <f t="shared" si="0"/>
        <v>1.1299999999999955</v>
      </c>
      <c r="M22" s="1">
        <f>AVERAGE(L3:L22)</f>
        <v>2.5634999999999932</v>
      </c>
      <c r="N22" s="2">
        <f t="shared" si="1"/>
        <v>5.6450492987085044E-2</v>
      </c>
      <c r="O22">
        <f t="shared" si="8"/>
        <v>2.0628707646955308E-2</v>
      </c>
      <c r="P22" s="16">
        <f>AVERAGE(H2:H22)</f>
        <v>9641000</v>
      </c>
      <c r="Q22">
        <f t="shared" si="3"/>
        <v>153.66</v>
      </c>
      <c r="R22">
        <f t="shared" si="4"/>
        <v>162.84</v>
      </c>
      <c r="S22">
        <f t="shared" si="5"/>
        <v>176.69</v>
      </c>
      <c r="T22">
        <f t="shared" si="6"/>
        <v>23.03</v>
      </c>
    </row>
    <row r="23" spans="1:20" x14ac:dyDescent="0.25">
      <c r="A23" s="7">
        <v>45691</v>
      </c>
      <c r="B23">
        <v>151.87</v>
      </c>
      <c r="C23">
        <v>152</v>
      </c>
      <c r="D23">
        <v>152.46</v>
      </c>
      <c r="E23">
        <v>150.78</v>
      </c>
      <c r="F23">
        <v>6.69</v>
      </c>
      <c r="G23">
        <v>-0.18</v>
      </c>
      <c r="H23" s="9">
        <f t="shared" si="2"/>
        <v>6690000</v>
      </c>
      <c r="I23" s="1">
        <f t="shared" si="7"/>
        <v>151.16142857142859</v>
      </c>
      <c r="J23" s="1">
        <f t="shared" si="9"/>
        <v>147.27950000000001</v>
      </c>
      <c r="L23">
        <f t="shared" si="0"/>
        <v>1.6800000000000068</v>
      </c>
      <c r="M23" s="1">
        <f t="shared" ref="M23:M86" si="10">AVERAGE(L4:L23)</f>
        <v>2.5479999999999934</v>
      </c>
      <c r="N23" s="2">
        <f t="shared" si="1"/>
        <v>5.4506318566865719E-2</v>
      </c>
      <c r="O23">
        <f t="shared" si="8"/>
        <v>2.0216035792660968E-2</v>
      </c>
      <c r="P23" s="16">
        <f t="shared" ref="P23:P86" si="11">AVERAGE(H3:H23)</f>
        <v>9500476.1904761903</v>
      </c>
      <c r="Q23">
        <f t="shared" si="3"/>
        <v>153.66</v>
      </c>
      <c r="R23">
        <f t="shared" si="4"/>
        <v>162.84</v>
      </c>
      <c r="S23">
        <f t="shared" si="5"/>
        <v>176.69</v>
      </c>
      <c r="T23">
        <f t="shared" si="6"/>
        <v>23.03</v>
      </c>
    </row>
    <row r="24" spans="1:20" x14ac:dyDescent="0.25">
      <c r="A24" s="7">
        <v>45692</v>
      </c>
      <c r="B24">
        <v>153.49</v>
      </c>
      <c r="C24">
        <v>151.36000000000001</v>
      </c>
      <c r="D24">
        <v>154.18</v>
      </c>
      <c r="E24">
        <v>150.94999999999999</v>
      </c>
      <c r="F24">
        <v>9.65</v>
      </c>
      <c r="G24">
        <v>1.07</v>
      </c>
      <c r="H24" s="9">
        <f t="shared" si="2"/>
        <v>9650000</v>
      </c>
      <c r="I24" s="1">
        <f t="shared" si="7"/>
        <v>152.1142857142857</v>
      </c>
      <c r="J24" s="1">
        <f t="shared" si="9"/>
        <v>147.74450000000002</v>
      </c>
      <c r="L24">
        <f t="shared" si="0"/>
        <v>3.2300000000000182</v>
      </c>
      <c r="M24" s="1">
        <f t="shared" si="10"/>
        <v>2.6619999999999946</v>
      </c>
      <c r="N24" s="2">
        <f t="shared" si="1"/>
        <v>6.5754756283849414E-2</v>
      </c>
      <c r="O24">
        <f t="shared" si="8"/>
        <v>2.027974192657362E-2</v>
      </c>
      <c r="P24" s="16">
        <f t="shared" si="11"/>
        <v>9671904.7619047612</v>
      </c>
      <c r="Q24">
        <f t="shared" si="3"/>
        <v>153.66</v>
      </c>
      <c r="R24">
        <f t="shared" si="4"/>
        <v>162.84</v>
      </c>
      <c r="S24">
        <f t="shared" si="5"/>
        <v>176.69</v>
      </c>
      <c r="T24">
        <f t="shared" si="6"/>
        <v>23.03</v>
      </c>
    </row>
    <row r="25" spans="1:20" x14ac:dyDescent="0.25">
      <c r="A25" s="7">
        <v>45693</v>
      </c>
      <c r="B25">
        <v>154.69</v>
      </c>
      <c r="C25">
        <v>153.82</v>
      </c>
      <c r="D25">
        <v>154.72999999999999</v>
      </c>
      <c r="E25">
        <v>153.31</v>
      </c>
      <c r="F25">
        <v>8.9499999999999993</v>
      </c>
      <c r="G25">
        <v>0.78</v>
      </c>
      <c r="H25" s="9">
        <f t="shared" si="2"/>
        <v>8950000</v>
      </c>
      <c r="I25" s="1">
        <f t="shared" si="7"/>
        <v>152.37142857142857</v>
      </c>
      <c r="J25" s="1">
        <f t="shared" si="9"/>
        <v>148.29600000000002</v>
      </c>
      <c r="L25">
        <f t="shared" si="0"/>
        <v>1.4199999999999875</v>
      </c>
      <c r="M25" s="1">
        <f t="shared" si="10"/>
        <v>2.6384999999999947</v>
      </c>
      <c r="N25" s="2">
        <f t="shared" si="1"/>
        <v>7.4086932370504011E-2</v>
      </c>
      <c r="O25">
        <f t="shared" si="8"/>
        <v>2.0433603116155448E-2</v>
      </c>
      <c r="P25" s="16">
        <f t="shared" si="11"/>
        <v>9818095.2380952388</v>
      </c>
      <c r="Q25">
        <f t="shared" si="3"/>
        <v>153.66</v>
      </c>
      <c r="R25">
        <f t="shared" si="4"/>
        <v>162.84</v>
      </c>
      <c r="S25">
        <f t="shared" si="5"/>
        <v>176.69</v>
      </c>
      <c r="T25">
        <f t="shared" si="6"/>
        <v>23.03</v>
      </c>
    </row>
    <row r="26" spans="1:20" x14ac:dyDescent="0.25">
      <c r="A26" s="7">
        <v>45694</v>
      </c>
      <c r="B26">
        <v>153.51</v>
      </c>
      <c r="C26">
        <v>154.79</v>
      </c>
      <c r="D26">
        <v>154.84</v>
      </c>
      <c r="E26">
        <v>153.38</v>
      </c>
      <c r="F26">
        <v>7.42</v>
      </c>
      <c r="G26">
        <v>-0.76</v>
      </c>
      <c r="H26" s="9">
        <f t="shared" si="2"/>
        <v>7420000</v>
      </c>
      <c r="I26" s="1">
        <f t="shared" si="7"/>
        <v>152.81857142857143</v>
      </c>
      <c r="J26" s="1">
        <f t="shared" si="9"/>
        <v>148.66</v>
      </c>
      <c r="L26">
        <f t="shared" si="0"/>
        <v>1.460000000000008</v>
      </c>
      <c r="M26" s="1">
        <f t="shared" si="10"/>
        <v>2.5319999999999951</v>
      </c>
      <c r="N26" s="2">
        <f t="shared" si="1"/>
        <v>6.5893625885293572E-2</v>
      </c>
      <c r="O26">
        <f t="shared" si="8"/>
        <v>2.0770783155099455E-2</v>
      </c>
      <c r="P26" s="16">
        <f t="shared" si="11"/>
        <v>9794761.9047619049</v>
      </c>
      <c r="Q26">
        <f t="shared" si="3"/>
        <v>153.66</v>
      </c>
      <c r="R26">
        <f t="shared" si="4"/>
        <v>162.84</v>
      </c>
      <c r="S26">
        <f t="shared" si="5"/>
        <v>176.69</v>
      </c>
      <c r="T26">
        <f t="shared" si="6"/>
        <v>23.03</v>
      </c>
    </row>
    <row r="27" spans="1:20" x14ac:dyDescent="0.25">
      <c r="A27" s="7">
        <v>45695</v>
      </c>
      <c r="B27">
        <v>153.12</v>
      </c>
      <c r="C27">
        <v>153.53</v>
      </c>
      <c r="D27">
        <v>154.49</v>
      </c>
      <c r="E27">
        <v>152.80000000000001</v>
      </c>
      <c r="F27">
        <v>6.2</v>
      </c>
      <c r="G27">
        <v>-0.25</v>
      </c>
      <c r="H27" s="9">
        <f t="shared" si="2"/>
        <v>6200000</v>
      </c>
      <c r="I27" s="1">
        <f t="shared" si="7"/>
        <v>153.09999999999997</v>
      </c>
      <c r="J27" s="1">
        <f t="shared" si="9"/>
        <v>149.20250000000001</v>
      </c>
      <c r="L27">
        <f t="shared" si="0"/>
        <v>1.6899999999999977</v>
      </c>
      <c r="M27" s="1">
        <f t="shared" si="10"/>
        <v>2.4089999999999945</v>
      </c>
      <c r="N27" s="2">
        <f t="shared" si="1"/>
        <v>6.3185668657130822E-2</v>
      </c>
      <c r="O27">
        <f t="shared" si="8"/>
        <v>2.0118295647450279E-2</v>
      </c>
      <c r="P27" s="16">
        <f t="shared" si="11"/>
        <v>9689047.6190476194</v>
      </c>
      <c r="Q27">
        <f t="shared" si="3"/>
        <v>153.66</v>
      </c>
      <c r="R27">
        <f t="shared" si="4"/>
        <v>162.84</v>
      </c>
      <c r="S27">
        <f t="shared" si="5"/>
        <v>176.69</v>
      </c>
      <c r="T27">
        <f t="shared" si="6"/>
        <v>23.03</v>
      </c>
    </row>
    <row r="28" spans="1:20" x14ac:dyDescent="0.25">
      <c r="A28" s="7">
        <v>45698</v>
      </c>
      <c r="B28">
        <v>154.24</v>
      </c>
      <c r="C28">
        <v>153.61000000000001</v>
      </c>
      <c r="D28">
        <v>154.37</v>
      </c>
      <c r="E28">
        <v>152.29</v>
      </c>
      <c r="F28">
        <v>6.94</v>
      </c>
      <c r="G28">
        <v>0.73</v>
      </c>
      <c r="H28" s="9">
        <f t="shared" si="2"/>
        <v>6940000</v>
      </c>
      <c r="I28" s="1">
        <f t="shared" si="7"/>
        <v>153.2957142857143</v>
      </c>
      <c r="J28" s="1">
        <f t="shared" si="9"/>
        <v>149.81149999999997</v>
      </c>
      <c r="L28">
        <f t="shared" si="0"/>
        <v>2.0800000000000125</v>
      </c>
      <c r="M28" s="1">
        <f t="shared" si="10"/>
        <v>2.3634999999999962</v>
      </c>
      <c r="N28" s="2">
        <f t="shared" si="1"/>
        <v>7.0962366338008565E-2</v>
      </c>
      <c r="O28">
        <f t="shared" si="8"/>
        <v>2.0169236418128643E-2</v>
      </c>
      <c r="P28" s="16">
        <f t="shared" si="11"/>
        <v>9487142.8571428563</v>
      </c>
      <c r="Q28">
        <f t="shared" si="3"/>
        <v>153.66</v>
      </c>
      <c r="R28">
        <f t="shared" si="4"/>
        <v>162.84</v>
      </c>
      <c r="S28">
        <f t="shared" si="5"/>
        <v>176.69</v>
      </c>
      <c r="T28">
        <f t="shared" si="6"/>
        <v>23.03</v>
      </c>
    </row>
    <row r="29" spans="1:20" x14ac:dyDescent="0.25">
      <c r="A29" s="7">
        <v>45699</v>
      </c>
      <c r="B29">
        <v>156.13</v>
      </c>
      <c r="C29">
        <v>154.11000000000001</v>
      </c>
      <c r="D29">
        <v>156.38999999999999</v>
      </c>
      <c r="E29">
        <v>153.94</v>
      </c>
      <c r="F29">
        <v>7.55</v>
      </c>
      <c r="G29">
        <v>1.23</v>
      </c>
      <c r="H29" s="9">
        <f t="shared" si="2"/>
        <v>7550000</v>
      </c>
      <c r="I29" s="1">
        <f t="shared" si="7"/>
        <v>153.8642857142857</v>
      </c>
      <c r="J29" s="1">
        <f t="shared" si="9"/>
        <v>150.39449999999997</v>
      </c>
      <c r="L29">
        <f t="shared" si="0"/>
        <v>2.4499999999999886</v>
      </c>
      <c r="M29" s="1">
        <f t="shared" si="10"/>
        <v>2.3479999999999963</v>
      </c>
      <c r="N29" s="2">
        <f t="shared" si="1"/>
        <v>8.4085543674489616E-2</v>
      </c>
      <c r="O29">
        <f t="shared" si="8"/>
        <v>1.8115022328772028E-2</v>
      </c>
      <c r="P29" s="16">
        <f t="shared" si="11"/>
        <v>9426666.666666666</v>
      </c>
      <c r="Q29">
        <f t="shared" si="3"/>
        <v>153.66</v>
      </c>
      <c r="R29">
        <f t="shared" si="4"/>
        <v>162.84</v>
      </c>
      <c r="S29">
        <f t="shared" si="5"/>
        <v>176.69</v>
      </c>
      <c r="T29">
        <f t="shared" si="6"/>
        <v>23.03</v>
      </c>
    </row>
    <row r="30" spans="1:20" x14ac:dyDescent="0.25">
      <c r="A30" s="7">
        <v>45700</v>
      </c>
      <c r="B30">
        <v>155.26</v>
      </c>
      <c r="C30">
        <v>155.27000000000001</v>
      </c>
      <c r="D30">
        <v>155.66</v>
      </c>
      <c r="E30">
        <v>154.27000000000001</v>
      </c>
      <c r="F30">
        <v>7.75</v>
      </c>
      <c r="G30">
        <v>-0.56000000000000005</v>
      </c>
      <c r="H30" s="9">
        <f t="shared" si="2"/>
        <v>7750000</v>
      </c>
      <c r="I30" s="1">
        <f t="shared" si="7"/>
        <v>154.34857142857143</v>
      </c>
      <c r="J30" s="1">
        <f t="shared" si="9"/>
        <v>150.91999999999999</v>
      </c>
      <c r="L30">
        <f t="shared" si="0"/>
        <v>1.3899999999999864</v>
      </c>
      <c r="M30" s="1">
        <f t="shared" si="10"/>
        <v>2.3199999999999958</v>
      </c>
      <c r="N30" s="2">
        <f t="shared" si="1"/>
        <v>7.804471601166485E-2</v>
      </c>
      <c r="O30">
        <f t="shared" si="8"/>
        <v>1.5468334294027499E-2</v>
      </c>
      <c r="P30" s="16">
        <f t="shared" si="11"/>
        <v>9301428.5714285709</v>
      </c>
      <c r="Q30">
        <f t="shared" si="3"/>
        <v>153.66</v>
      </c>
      <c r="R30">
        <f t="shared" si="4"/>
        <v>162.84</v>
      </c>
      <c r="S30">
        <f t="shared" si="5"/>
        <v>176.69</v>
      </c>
      <c r="T30">
        <f t="shared" si="6"/>
        <v>23.03</v>
      </c>
    </row>
    <row r="31" spans="1:20" x14ac:dyDescent="0.25">
      <c r="A31" s="7">
        <v>45701</v>
      </c>
      <c r="B31">
        <v>157.25</v>
      </c>
      <c r="C31">
        <v>155.26</v>
      </c>
      <c r="D31">
        <v>158.13</v>
      </c>
      <c r="E31">
        <v>154.79</v>
      </c>
      <c r="F31">
        <v>10.71</v>
      </c>
      <c r="G31">
        <v>1.28</v>
      </c>
      <c r="H31" s="9">
        <f t="shared" si="2"/>
        <v>10710000</v>
      </c>
      <c r="I31" s="1">
        <f t="shared" si="7"/>
        <v>154.88571428571427</v>
      </c>
      <c r="J31" s="1">
        <f t="shared" si="9"/>
        <v>151.53400000000002</v>
      </c>
      <c r="L31">
        <f t="shared" si="0"/>
        <v>3.3400000000000034</v>
      </c>
      <c r="M31" s="1">
        <f t="shared" si="10"/>
        <v>2.3974999999999951</v>
      </c>
      <c r="N31" s="2">
        <f t="shared" si="1"/>
        <v>9.1862241355367136E-2</v>
      </c>
      <c r="O31">
        <f t="shared" si="8"/>
        <v>1.2680252539342327E-2</v>
      </c>
      <c r="P31" s="16">
        <f t="shared" si="11"/>
        <v>9398095.2380952388</v>
      </c>
      <c r="Q31">
        <f t="shared" si="3"/>
        <v>153.66</v>
      </c>
      <c r="R31">
        <f t="shared" si="4"/>
        <v>162.84</v>
      </c>
      <c r="S31">
        <f t="shared" si="5"/>
        <v>176.69</v>
      </c>
      <c r="T31">
        <f t="shared" si="6"/>
        <v>23.03</v>
      </c>
    </row>
    <row r="32" spans="1:20" x14ac:dyDescent="0.25">
      <c r="A32" s="7">
        <v>45702</v>
      </c>
      <c r="B32">
        <v>156.15</v>
      </c>
      <c r="C32">
        <v>157.29</v>
      </c>
      <c r="D32">
        <v>157.47</v>
      </c>
      <c r="E32">
        <v>156.06</v>
      </c>
      <c r="F32">
        <v>6.41</v>
      </c>
      <c r="G32">
        <v>-0.7</v>
      </c>
      <c r="H32" s="9">
        <f t="shared" si="2"/>
        <v>6410000</v>
      </c>
      <c r="I32" s="1">
        <f t="shared" si="7"/>
        <v>155.09428571428572</v>
      </c>
      <c r="J32" s="1">
        <f t="shared" si="9"/>
        <v>151.95300000000003</v>
      </c>
      <c r="L32">
        <f t="shared" si="0"/>
        <v>1.4099999999999966</v>
      </c>
      <c r="M32" s="1">
        <f t="shared" si="10"/>
        <v>2.2674999999999956</v>
      </c>
      <c r="N32" s="2">
        <f t="shared" si="1"/>
        <v>8.4224413275933774E-2</v>
      </c>
      <c r="O32">
        <f t="shared" si="8"/>
        <v>1.3456473300402632E-2</v>
      </c>
      <c r="P32" s="16">
        <f t="shared" si="11"/>
        <v>9349523.8095238097</v>
      </c>
      <c r="Q32">
        <f t="shared" si="3"/>
        <v>153.66</v>
      </c>
      <c r="R32">
        <f t="shared" si="4"/>
        <v>162.84</v>
      </c>
      <c r="S32">
        <f t="shared" si="5"/>
        <v>176.69</v>
      </c>
      <c r="T32">
        <f t="shared" si="6"/>
        <v>23.03</v>
      </c>
    </row>
    <row r="33" spans="1:20" x14ac:dyDescent="0.25">
      <c r="A33" s="7">
        <v>45706</v>
      </c>
      <c r="B33">
        <v>154.99</v>
      </c>
      <c r="C33">
        <v>154.13999999999999</v>
      </c>
      <c r="D33">
        <v>155.44999999999999</v>
      </c>
      <c r="E33">
        <v>153.24</v>
      </c>
      <c r="F33">
        <v>9.67</v>
      </c>
      <c r="G33">
        <v>-0.74</v>
      </c>
      <c r="H33" s="9">
        <f t="shared" si="2"/>
        <v>9670000</v>
      </c>
      <c r="I33" s="1">
        <f t="shared" si="7"/>
        <v>155.30571428571426</v>
      </c>
      <c r="J33" s="1">
        <f t="shared" si="9"/>
        <v>152.35100000000003</v>
      </c>
      <c r="L33">
        <f t="shared" si="0"/>
        <v>2.2099999999999795</v>
      </c>
      <c r="M33" s="1">
        <f t="shared" si="10"/>
        <v>2.2894999999999954</v>
      </c>
      <c r="N33" s="2">
        <f t="shared" si="1"/>
        <v>7.6169976392167715E-2</v>
      </c>
      <c r="O33">
        <f t="shared" si="8"/>
        <v>1.1940628049650046E-2</v>
      </c>
      <c r="P33" s="16">
        <f t="shared" si="11"/>
        <v>9383333.333333334</v>
      </c>
      <c r="Q33">
        <f t="shared" si="3"/>
        <v>153.66</v>
      </c>
      <c r="R33">
        <f t="shared" si="4"/>
        <v>162.84</v>
      </c>
      <c r="S33">
        <f t="shared" si="5"/>
        <v>176.69</v>
      </c>
      <c r="T33">
        <f t="shared" si="6"/>
        <v>23.03</v>
      </c>
    </row>
    <row r="34" spans="1:20" x14ac:dyDescent="0.25">
      <c r="A34" s="7">
        <v>45707</v>
      </c>
      <c r="B34">
        <v>157.88999999999999</v>
      </c>
      <c r="C34">
        <v>155</v>
      </c>
      <c r="D34">
        <v>158.30000000000001</v>
      </c>
      <c r="E34">
        <v>154.75</v>
      </c>
      <c r="F34">
        <v>7.97</v>
      </c>
      <c r="G34">
        <v>1.87</v>
      </c>
      <c r="H34" s="9">
        <f t="shared" si="2"/>
        <v>7970000</v>
      </c>
      <c r="I34" s="1">
        <f t="shared" si="7"/>
        <v>155.98714285714283</v>
      </c>
      <c r="J34" s="1">
        <f t="shared" si="9"/>
        <v>152.83800000000002</v>
      </c>
      <c r="L34">
        <f t="shared" si="0"/>
        <v>3.5500000000000114</v>
      </c>
      <c r="M34" s="1">
        <f t="shared" si="10"/>
        <v>2.3764999999999956</v>
      </c>
      <c r="N34" s="2">
        <f t="shared" si="1"/>
        <v>9.6306068601582862E-2</v>
      </c>
      <c r="O34">
        <f t="shared" si="8"/>
        <v>1.2355510003459696E-2</v>
      </c>
      <c r="P34" s="16">
        <f t="shared" si="11"/>
        <v>9250000</v>
      </c>
      <c r="Q34">
        <f t="shared" si="3"/>
        <v>153.66</v>
      </c>
      <c r="R34">
        <f t="shared" si="4"/>
        <v>162.84</v>
      </c>
      <c r="S34">
        <f t="shared" si="5"/>
        <v>176.69</v>
      </c>
      <c r="T34">
        <f t="shared" si="6"/>
        <v>23.03</v>
      </c>
    </row>
    <row r="35" spans="1:20" x14ac:dyDescent="0.25">
      <c r="A35" s="7">
        <v>45708</v>
      </c>
      <c r="B35">
        <v>159.68</v>
      </c>
      <c r="C35">
        <v>156.94999999999999</v>
      </c>
      <c r="D35">
        <v>159.94999999999999</v>
      </c>
      <c r="E35">
        <v>156.94999999999999</v>
      </c>
      <c r="F35">
        <v>7.22</v>
      </c>
      <c r="G35">
        <v>1.1299999999999999</v>
      </c>
      <c r="H35" s="9">
        <f t="shared" si="2"/>
        <v>7220000</v>
      </c>
      <c r="I35" s="1">
        <f t="shared" si="7"/>
        <v>156.76428571428571</v>
      </c>
      <c r="J35" s="1">
        <f t="shared" si="9"/>
        <v>153.55850000000001</v>
      </c>
      <c r="L35">
        <f t="shared" si="0"/>
        <v>3</v>
      </c>
      <c r="M35" s="1">
        <f t="shared" si="10"/>
        <v>2.3584999999999967</v>
      </c>
      <c r="N35" s="2">
        <f t="shared" si="1"/>
        <v>0.1087348979308429</v>
      </c>
      <c r="O35">
        <f t="shared" si="8"/>
        <v>1.4915119779751747E-2</v>
      </c>
      <c r="P35" s="16">
        <f t="shared" si="11"/>
        <v>9064761.9047619049</v>
      </c>
      <c r="Q35">
        <f t="shared" si="3"/>
        <v>153.66</v>
      </c>
      <c r="R35">
        <f t="shared" si="4"/>
        <v>162.84</v>
      </c>
      <c r="S35">
        <f t="shared" si="5"/>
        <v>176.69</v>
      </c>
      <c r="T35">
        <f t="shared" si="6"/>
        <v>23.03</v>
      </c>
    </row>
    <row r="36" spans="1:20" x14ac:dyDescent="0.25">
      <c r="A36" s="7">
        <v>45709</v>
      </c>
      <c r="B36">
        <v>162.30000000000001</v>
      </c>
      <c r="C36">
        <v>159.88</v>
      </c>
      <c r="D36">
        <v>163.51</v>
      </c>
      <c r="E36">
        <v>159.28</v>
      </c>
      <c r="F36">
        <v>12.55</v>
      </c>
      <c r="G36">
        <v>1.64</v>
      </c>
      <c r="H36" s="9">
        <f t="shared" si="2"/>
        <v>12550000</v>
      </c>
      <c r="I36" s="1">
        <f t="shared" si="7"/>
        <v>157.64571428571429</v>
      </c>
      <c r="J36" s="1">
        <f t="shared" si="9"/>
        <v>154.3415</v>
      </c>
      <c r="L36">
        <f t="shared" si="0"/>
        <v>4.2299999999999898</v>
      </c>
      <c r="M36" s="1">
        <f t="shared" si="10"/>
        <v>2.4149999999999965</v>
      </c>
      <c r="N36" s="2">
        <f t="shared" si="1"/>
        <v>0.12692681572003894</v>
      </c>
      <c r="O36">
        <f t="shared" si="8"/>
        <v>1.8723404713149139E-2</v>
      </c>
      <c r="P36" s="16">
        <f t="shared" si="11"/>
        <v>8860952.3809523806</v>
      </c>
      <c r="Q36">
        <f t="shared" si="3"/>
        <v>153.66</v>
      </c>
      <c r="R36">
        <f t="shared" si="4"/>
        <v>162.84</v>
      </c>
      <c r="S36">
        <f t="shared" si="5"/>
        <v>176.69</v>
      </c>
      <c r="T36">
        <f t="shared" si="6"/>
        <v>23.03</v>
      </c>
    </row>
    <row r="37" spans="1:20" x14ac:dyDescent="0.25">
      <c r="A37" s="7">
        <v>45712</v>
      </c>
      <c r="B37">
        <v>163.74</v>
      </c>
      <c r="C37">
        <v>162.68</v>
      </c>
      <c r="D37">
        <v>164.87</v>
      </c>
      <c r="E37">
        <v>162.05000000000001</v>
      </c>
      <c r="F37">
        <v>10.199999999999999</v>
      </c>
      <c r="G37">
        <v>0.89</v>
      </c>
      <c r="H37" s="9">
        <f t="shared" si="2"/>
        <v>10200000</v>
      </c>
      <c r="I37" s="1">
        <f t="shared" si="7"/>
        <v>158.85714285714286</v>
      </c>
      <c r="J37" s="1">
        <f t="shared" si="9"/>
        <v>155.1875</v>
      </c>
      <c r="L37">
        <f t="shared" si="0"/>
        <v>2.8199999999999932</v>
      </c>
      <c r="M37" s="1">
        <f t="shared" si="10"/>
        <v>2.4934999999999961</v>
      </c>
      <c r="N37" s="2">
        <f t="shared" si="1"/>
        <v>0.13692542702402433</v>
      </c>
      <c r="O37">
        <f t="shared" si="8"/>
        <v>2.1988704652214062E-2</v>
      </c>
      <c r="P37" s="16">
        <f t="shared" si="11"/>
        <v>8846190.4761904757</v>
      </c>
      <c r="Q37">
        <f t="shared" si="3"/>
        <v>153.66</v>
      </c>
      <c r="R37">
        <f t="shared" si="4"/>
        <v>162.84</v>
      </c>
      <c r="S37">
        <f t="shared" si="5"/>
        <v>176.69</v>
      </c>
      <c r="T37">
        <f t="shared" si="6"/>
        <v>23.03</v>
      </c>
    </row>
    <row r="38" spans="1:20" x14ac:dyDescent="0.25">
      <c r="A38" s="7">
        <v>45713</v>
      </c>
      <c r="B38">
        <v>166.09</v>
      </c>
      <c r="C38">
        <v>164.1</v>
      </c>
      <c r="D38">
        <v>166.43</v>
      </c>
      <c r="E38">
        <v>163.94</v>
      </c>
      <c r="F38">
        <v>12.3</v>
      </c>
      <c r="G38">
        <v>1.44</v>
      </c>
      <c r="H38" s="9">
        <f t="shared" si="2"/>
        <v>12300000</v>
      </c>
      <c r="I38" s="1">
        <f t="shared" si="7"/>
        <v>160.11999999999998</v>
      </c>
      <c r="J38" s="1">
        <f t="shared" si="9"/>
        <v>155.8475</v>
      </c>
      <c r="L38">
        <f t="shared" si="0"/>
        <v>2.4900000000000091</v>
      </c>
      <c r="M38" s="1">
        <f t="shared" si="10"/>
        <v>2.3454999999999968</v>
      </c>
      <c r="N38" s="2">
        <f t="shared" si="1"/>
        <v>0.15324260519372301</v>
      </c>
      <c r="O38">
        <f t="shared" si="8"/>
        <v>2.6852120076436663E-2</v>
      </c>
      <c r="P38" s="16">
        <f t="shared" si="11"/>
        <v>8960952.3809523806</v>
      </c>
      <c r="Q38">
        <f t="shared" si="3"/>
        <v>153.66</v>
      </c>
      <c r="R38">
        <f t="shared" si="4"/>
        <v>162.84</v>
      </c>
      <c r="S38">
        <f t="shared" si="5"/>
        <v>176.69</v>
      </c>
      <c r="T38">
        <f t="shared" si="6"/>
        <v>23.03</v>
      </c>
    </row>
    <row r="39" spans="1:20" x14ac:dyDescent="0.25">
      <c r="A39" s="7">
        <v>45714</v>
      </c>
      <c r="B39">
        <v>163.08000000000001</v>
      </c>
      <c r="C39">
        <v>165.08</v>
      </c>
      <c r="D39">
        <v>165.13</v>
      </c>
      <c r="E39">
        <v>162.55000000000001</v>
      </c>
      <c r="F39">
        <v>11.4</v>
      </c>
      <c r="G39">
        <v>-1.81</v>
      </c>
      <c r="H39" s="9">
        <f t="shared" si="2"/>
        <v>11400000</v>
      </c>
      <c r="I39" s="1">
        <f t="shared" si="7"/>
        <v>161.10999999999999</v>
      </c>
      <c r="J39" s="1">
        <f t="shared" si="9"/>
        <v>156.48249999999999</v>
      </c>
      <c r="L39">
        <f t="shared" si="0"/>
        <v>2.5799999999999841</v>
      </c>
      <c r="M39" s="1">
        <f t="shared" si="10"/>
        <v>2.3409999999999966</v>
      </c>
      <c r="N39" s="2">
        <f t="shared" si="1"/>
        <v>0.13234273017636444</v>
      </c>
      <c r="O39">
        <f t="shared" si="8"/>
        <v>2.7992661084066291E-2</v>
      </c>
      <c r="P39" s="16">
        <f t="shared" si="11"/>
        <v>8782380.9523809515</v>
      </c>
      <c r="Q39">
        <f t="shared" si="3"/>
        <v>153.66</v>
      </c>
      <c r="R39">
        <f t="shared" si="4"/>
        <v>162.84</v>
      </c>
      <c r="S39">
        <f t="shared" si="5"/>
        <v>176.69</v>
      </c>
      <c r="T39">
        <f t="shared" si="6"/>
        <v>23.03</v>
      </c>
    </row>
    <row r="40" spans="1:20" x14ac:dyDescent="0.25">
      <c r="A40" s="7">
        <v>45715</v>
      </c>
      <c r="B40">
        <v>163.72999999999999</v>
      </c>
      <c r="C40">
        <v>162.31</v>
      </c>
      <c r="D40">
        <v>163.95</v>
      </c>
      <c r="E40">
        <v>161.72999999999999</v>
      </c>
      <c r="F40">
        <v>8.36</v>
      </c>
      <c r="G40">
        <v>0.4</v>
      </c>
      <c r="H40" s="9">
        <f t="shared" si="2"/>
        <v>8359999.9999999991</v>
      </c>
      <c r="I40" s="1">
        <f t="shared" si="7"/>
        <v>162.35857142857142</v>
      </c>
      <c r="J40" s="1">
        <f t="shared" si="9"/>
        <v>157.11150000000001</v>
      </c>
      <c r="L40">
        <f t="shared" si="0"/>
        <v>2.2199999999999989</v>
      </c>
      <c r="M40" s="1">
        <f t="shared" si="10"/>
        <v>2.357999999999997</v>
      </c>
      <c r="N40" s="2">
        <f t="shared" si="1"/>
        <v>0.13685599222330214</v>
      </c>
      <c r="O40">
        <f t="shared" si="8"/>
        <v>2.8184190544109058E-2</v>
      </c>
      <c r="P40" s="16">
        <f t="shared" si="11"/>
        <v>8689047.6190476194</v>
      </c>
      <c r="Q40">
        <f t="shared" si="3"/>
        <v>153.66</v>
      </c>
      <c r="R40">
        <f t="shared" si="4"/>
        <v>162.84</v>
      </c>
      <c r="S40">
        <f t="shared" si="5"/>
        <v>176.69</v>
      </c>
      <c r="T40">
        <f t="shared" si="6"/>
        <v>23.03</v>
      </c>
    </row>
    <row r="41" spans="1:20" x14ac:dyDescent="0.25">
      <c r="A41" s="7">
        <v>45716</v>
      </c>
      <c r="B41">
        <v>165.02</v>
      </c>
      <c r="C41">
        <v>164.31</v>
      </c>
      <c r="D41">
        <v>165.94</v>
      </c>
      <c r="E41">
        <v>162.69999999999999</v>
      </c>
      <c r="F41">
        <v>12.04</v>
      </c>
      <c r="G41">
        <v>0.79</v>
      </c>
      <c r="H41" s="9">
        <f t="shared" si="2"/>
        <v>12040000</v>
      </c>
      <c r="I41" s="1">
        <f t="shared" si="7"/>
        <v>163.37714285714287</v>
      </c>
      <c r="J41" s="1">
        <f t="shared" si="9"/>
        <v>157.71899999999999</v>
      </c>
      <c r="L41">
        <f t="shared" si="0"/>
        <v>3.2400000000000091</v>
      </c>
      <c r="M41" s="1">
        <f t="shared" si="10"/>
        <v>2.3809999999999989</v>
      </c>
      <c r="N41" s="2">
        <f t="shared" si="1"/>
        <v>0.145813081516456</v>
      </c>
      <c r="O41">
        <f t="shared" si="8"/>
        <v>2.7910756350857709E-2</v>
      </c>
      <c r="P41" s="16">
        <f t="shared" si="11"/>
        <v>8921428.5714285709</v>
      </c>
      <c r="Q41">
        <f t="shared" si="3"/>
        <v>153.66</v>
      </c>
      <c r="R41">
        <f t="shared" si="4"/>
        <v>162.84</v>
      </c>
      <c r="S41">
        <f t="shared" si="5"/>
        <v>176.69</v>
      </c>
      <c r="T41">
        <f t="shared" si="6"/>
        <v>23.03</v>
      </c>
    </row>
    <row r="42" spans="1:20" x14ac:dyDescent="0.25">
      <c r="A42" s="7">
        <v>45719</v>
      </c>
      <c r="B42">
        <v>167.28</v>
      </c>
      <c r="C42">
        <v>164.96</v>
      </c>
      <c r="D42">
        <v>167.33</v>
      </c>
      <c r="E42">
        <v>164.84</v>
      </c>
      <c r="F42">
        <v>9.19</v>
      </c>
      <c r="G42">
        <v>1.37</v>
      </c>
      <c r="H42" s="9">
        <f t="shared" si="2"/>
        <v>9190000</v>
      </c>
      <c r="I42" s="1">
        <f t="shared" si="7"/>
        <v>164.46285714285713</v>
      </c>
      <c r="J42" s="1">
        <f t="shared" si="9"/>
        <v>158.47550000000004</v>
      </c>
      <c r="L42">
        <f t="shared" si="0"/>
        <v>2.4900000000000091</v>
      </c>
      <c r="M42" s="1">
        <f t="shared" si="10"/>
        <v>2.4489999999999994</v>
      </c>
      <c r="N42" s="2">
        <f t="shared" si="1"/>
        <v>0.16150534647965542</v>
      </c>
      <c r="O42">
        <f t="shared" si="8"/>
        <v>2.8878851085092479E-2</v>
      </c>
      <c r="P42" s="16">
        <f t="shared" si="11"/>
        <v>8934761.9047619049</v>
      </c>
      <c r="Q42">
        <f t="shared" si="3"/>
        <v>153.66</v>
      </c>
      <c r="R42">
        <f t="shared" si="4"/>
        <v>162.84</v>
      </c>
      <c r="S42">
        <f t="shared" si="5"/>
        <v>176.69</v>
      </c>
      <c r="T42">
        <f t="shared" si="6"/>
        <v>23.03</v>
      </c>
    </row>
    <row r="43" spans="1:20" x14ac:dyDescent="0.25">
      <c r="A43" s="7">
        <v>45720</v>
      </c>
      <c r="B43">
        <v>165.42</v>
      </c>
      <c r="C43">
        <v>168.08</v>
      </c>
      <c r="D43">
        <v>169.99</v>
      </c>
      <c r="E43">
        <v>165.32</v>
      </c>
      <c r="F43">
        <v>12</v>
      </c>
      <c r="G43">
        <v>-1.1100000000000001</v>
      </c>
      <c r="H43" s="9">
        <f t="shared" si="2"/>
        <v>12000000</v>
      </c>
      <c r="I43" s="1">
        <f t="shared" si="7"/>
        <v>164.90857142857143</v>
      </c>
      <c r="J43" s="1">
        <f t="shared" si="9"/>
        <v>159.15300000000005</v>
      </c>
      <c r="L43">
        <f t="shared" si="0"/>
        <v>4.6700000000000159</v>
      </c>
      <c r="M43" s="1">
        <f t="shared" si="10"/>
        <v>2.5985</v>
      </c>
      <c r="N43" s="2">
        <f t="shared" si="1"/>
        <v>0.14859047354534072</v>
      </c>
      <c r="O43">
        <f t="shared" si="8"/>
        <v>2.868950838981878E-2</v>
      </c>
      <c r="P43" s="16">
        <f t="shared" si="11"/>
        <v>9103333.333333334</v>
      </c>
      <c r="Q43">
        <f t="shared" si="3"/>
        <v>153.66</v>
      </c>
      <c r="R43">
        <f t="shared" si="4"/>
        <v>162.84</v>
      </c>
      <c r="S43">
        <f t="shared" si="5"/>
        <v>176.69</v>
      </c>
      <c r="T43">
        <f t="shared" si="6"/>
        <v>23.03</v>
      </c>
    </row>
    <row r="44" spans="1:20" x14ac:dyDescent="0.25">
      <c r="A44" s="7">
        <v>45721</v>
      </c>
      <c r="B44">
        <v>165.12</v>
      </c>
      <c r="C44">
        <v>164.51</v>
      </c>
      <c r="D44">
        <v>166.46</v>
      </c>
      <c r="E44">
        <v>163.53</v>
      </c>
      <c r="F44">
        <v>8.75</v>
      </c>
      <c r="G44">
        <v>-0.18</v>
      </c>
      <c r="H44" s="9">
        <f t="shared" si="2"/>
        <v>8750000</v>
      </c>
      <c r="I44" s="1">
        <f t="shared" si="7"/>
        <v>165.10571428571424</v>
      </c>
      <c r="J44" s="1">
        <f t="shared" si="9"/>
        <v>159.7345</v>
      </c>
      <c r="L44">
        <f t="shared" si="0"/>
        <v>2.9300000000000068</v>
      </c>
      <c r="M44" s="1">
        <f t="shared" si="10"/>
        <v>2.5834999999999995</v>
      </c>
      <c r="N44" s="2">
        <f t="shared" si="1"/>
        <v>0.14650742952367724</v>
      </c>
      <c r="O44">
        <f t="shared" si="8"/>
        <v>2.6932250263941877E-2</v>
      </c>
      <c r="P44" s="16">
        <f t="shared" si="11"/>
        <v>9201428.5714285709</v>
      </c>
      <c r="Q44">
        <f t="shared" si="3"/>
        <v>153.66</v>
      </c>
      <c r="R44">
        <f t="shared" si="4"/>
        <v>162.84</v>
      </c>
      <c r="S44">
        <f t="shared" si="5"/>
        <v>176.69</v>
      </c>
      <c r="T44">
        <f t="shared" si="6"/>
        <v>23.03</v>
      </c>
    </row>
    <row r="45" spans="1:20" x14ac:dyDescent="0.25">
      <c r="A45" s="7">
        <v>45722</v>
      </c>
      <c r="B45">
        <v>165.83</v>
      </c>
      <c r="C45">
        <v>165</v>
      </c>
      <c r="D45">
        <v>165.87</v>
      </c>
      <c r="E45">
        <v>163.51</v>
      </c>
      <c r="F45">
        <v>8.0399999999999991</v>
      </c>
      <c r="G45">
        <v>0.43</v>
      </c>
      <c r="H45" s="9">
        <f t="shared" si="2"/>
        <v>8039999.9999999991</v>
      </c>
      <c r="I45" s="1">
        <f t="shared" si="7"/>
        <v>165.06857142857143</v>
      </c>
      <c r="J45" s="1">
        <f t="shared" si="9"/>
        <v>160.29149999999998</v>
      </c>
      <c r="L45">
        <f t="shared" si="0"/>
        <v>2.3600000000000136</v>
      </c>
      <c r="M45" s="1">
        <f t="shared" si="10"/>
        <v>2.6305000000000005</v>
      </c>
      <c r="N45" s="2">
        <f t="shared" si="1"/>
        <v>0.15143730037494785</v>
      </c>
      <c r="O45">
        <f t="shared" si="8"/>
        <v>2.6098892872340865E-2</v>
      </c>
      <c r="P45" s="16">
        <f t="shared" si="11"/>
        <v>9124761.9047619049</v>
      </c>
      <c r="Q45">
        <f t="shared" si="3"/>
        <v>153.66</v>
      </c>
      <c r="R45">
        <f t="shared" si="4"/>
        <v>162.84</v>
      </c>
      <c r="S45">
        <f t="shared" si="5"/>
        <v>176.69</v>
      </c>
      <c r="T45">
        <f t="shared" si="6"/>
        <v>23.03</v>
      </c>
    </row>
    <row r="46" spans="1:20" x14ac:dyDescent="0.25">
      <c r="A46" s="7">
        <v>45723</v>
      </c>
      <c r="B46">
        <v>166.69</v>
      </c>
      <c r="C46">
        <v>165.13</v>
      </c>
      <c r="D46">
        <v>168.46</v>
      </c>
      <c r="E46">
        <v>164.7</v>
      </c>
      <c r="F46">
        <v>9.64</v>
      </c>
      <c r="G46">
        <v>0.52</v>
      </c>
      <c r="H46" s="9">
        <f t="shared" si="2"/>
        <v>9640000</v>
      </c>
      <c r="I46" s="1">
        <f t="shared" si="7"/>
        <v>165.5842857142857</v>
      </c>
      <c r="J46" s="1">
        <f t="shared" si="9"/>
        <v>160.95049999999998</v>
      </c>
      <c r="L46">
        <f t="shared" si="0"/>
        <v>3.7600000000000193</v>
      </c>
      <c r="M46" s="1">
        <f t="shared" si="10"/>
        <v>2.7455000000000012</v>
      </c>
      <c r="N46" s="2">
        <f t="shared" si="1"/>
        <v>0.1574086932370502</v>
      </c>
      <c r="O46">
        <f t="shared" si="8"/>
        <v>2.3844928881494046E-2</v>
      </c>
      <c r="P46" s="16">
        <f t="shared" si="11"/>
        <v>9157619.0476190485</v>
      </c>
      <c r="Q46">
        <f t="shared" si="3"/>
        <v>153.66</v>
      </c>
      <c r="R46">
        <f t="shared" si="4"/>
        <v>162.84</v>
      </c>
      <c r="S46">
        <f t="shared" si="5"/>
        <v>176.69</v>
      </c>
      <c r="T46">
        <f t="shared" si="6"/>
        <v>23.03</v>
      </c>
    </row>
    <row r="47" spans="1:20" x14ac:dyDescent="0.25">
      <c r="A47" s="7">
        <v>45726</v>
      </c>
      <c r="B47">
        <v>167.7</v>
      </c>
      <c r="C47">
        <v>167.48</v>
      </c>
      <c r="D47">
        <v>169.9</v>
      </c>
      <c r="E47">
        <v>167.05</v>
      </c>
      <c r="F47">
        <v>17.559999999999999</v>
      </c>
      <c r="G47">
        <v>0.61</v>
      </c>
      <c r="H47" s="9">
        <f t="shared" si="2"/>
        <v>17560000</v>
      </c>
      <c r="I47" s="1">
        <f t="shared" si="7"/>
        <v>166.1514285714286</v>
      </c>
      <c r="J47" s="1">
        <f t="shared" si="9"/>
        <v>161.67949999999999</v>
      </c>
      <c r="L47">
        <f t="shared" si="0"/>
        <v>2.8499999999999943</v>
      </c>
      <c r="M47" s="1">
        <f t="shared" si="10"/>
        <v>2.803500000000001</v>
      </c>
      <c r="N47" s="2">
        <f t="shared" si="1"/>
        <v>0.16442160810998452</v>
      </c>
      <c r="O47">
        <f t="shared" si="8"/>
        <v>1.8803681555224726E-2</v>
      </c>
      <c r="P47" s="16">
        <f t="shared" si="11"/>
        <v>9640476.1904761903</v>
      </c>
      <c r="Q47">
        <f t="shared" si="3"/>
        <v>153.66</v>
      </c>
      <c r="R47">
        <f t="shared" si="4"/>
        <v>162.84</v>
      </c>
      <c r="S47">
        <f t="shared" si="5"/>
        <v>176.69</v>
      </c>
      <c r="T47">
        <f t="shared" si="6"/>
        <v>23.03</v>
      </c>
    </row>
    <row r="48" spans="1:20" x14ac:dyDescent="0.25">
      <c r="A48" s="7">
        <v>45727</v>
      </c>
      <c r="B48">
        <v>165.86</v>
      </c>
      <c r="C48">
        <v>167.2</v>
      </c>
      <c r="D48">
        <v>167.3</v>
      </c>
      <c r="E48">
        <v>165.05</v>
      </c>
      <c r="F48">
        <v>9.89</v>
      </c>
      <c r="G48">
        <v>-1.1000000000000001</v>
      </c>
      <c r="H48" s="9">
        <f t="shared" si="2"/>
        <v>9890000</v>
      </c>
      <c r="I48" s="1">
        <f t="shared" si="7"/>
        <v>166.27142857142857</v>
      </c>
      <c r="J48" s="1">
        <f t="shared" si="9"/>
        <v>162.26050000000001</v>
      </c>
      <c r="L48">
        <f t="shared" si="0"/>
        <v>2.25</v>
      </c>
      <c r="M48" s="1">
        <f t="shared" si="10"/>
        <v>2.8120000000000003</v>
      </c>
      <c r="N48" s="2">
        <f t="shared" si="1"/>
        <v>0.1516456047771142</v>
      </c>
      <c r="O48">
        <f t="shared" si="8"/>
        <v>1.4398228144411135E-2</v>
      </c>
      <c r="P48" s="16">
        <f t="shared" si="11"/>
        <v>9816190.4761904757</v>
      </c>
      <c r="Q48">
        <f t="shared" si="3"/>
        <v>153.66</v>
      </c>
      <c r="R48">
        <f t="shared" si="4"/>
        <v>162.84</v>
      </c>
      <c r="S48">
        <f t="shared" si="5"/>
        <v>176.69</v>
      </c>
      <c r="T48">
        <f t="shared" si="6"/>
        <v>23.03</v>
      </c>
    </row>
    <row r="49" spans="1:20" x14ac:dyDescent="0.25">
      <c r="A49" s="7">
        <v>45728</v>
      </c>
      <c r="B49">
        <v>162.85</v>
      </c>
      <c r="C49">
        <v>163.72999999999999</v>
      </c>
      <c r="D49">
        <v>164.21</v>
      </c>
      <c r="E49">
        <v>162.22999999999999</v>
      </c>
      <c r="F49">
        <v>8.01</v>
      </c>
      <c r="G49">
        <v>-1.81</v>
      </c>
      <c r="H49" s="9">
        <f t="shared" si="2"/>
        <v>8010000</v>
      </c>
      <c r="I49" s="1">
        <f t="shared" si="7"/>
        <v>165.63857142857142</v>
      </c>
      <c r="J49" s="1">
        <f t="shared" si="9"/>
        <v>162.59649999999999</v>
      </c>
      <c r="L49">
        <f t="shared" si="0"/>
        <v>1.9800000000000182</v>
      </c>
      <c r="M49" s="1">
        <f t="shared" si="10"/>
        <v>2.7885000000000018</v>
      </c>
      <c r="N49" s="2">
        <f t="shared" si="1"/>
        <v>0.1307457297597554</v>
      </c>
      <c r="O49">
        <f t="shared" si="8"/>
        <v>1.1275055480193202E-2</v>
      </c>
      <c r="P49" s="16">
        <f t="shared" si="11"/>
        <v>9867142.8571428563</v>
      </c>
      <c r="Q49">
        <f t="shared" si="3"/>
        <v>153.66</v>
      </c>
      <c r="R49">
        <f t="shared" si="4"/>
        <v>162.84</v>
      </c>
      <c r="S49">
        <f t="shared" si="5"/>
        <v>176.69</v>
      </c>
      <c r="T49">
        <f t="shared" si="6"/>
        <v>23.03</v>
      </c>
    </row>
    <row r="50" spans="1:20" x14ac:dyDescent="0.25">
      <c r="A50" s="7">
        <v>45729</v>
      </c>
      <c r="B50">
        <v>162.99</v>
      </c>
      <c r="C50">
        <v>163.43</v>
      </c>
      <c r="D50">
        <v>164.54</v>
      </c>
      <c r="E50">
        <v>162.66</v>
      </c>
      <c r="F50">
        <v>5.29</v>
      </c>
      <c r="G50">
        <v>0.09</v>
      </c>
      <c r="H50" s="9">
        <f t="shared" si="2"/>
        <v>5290000</v>
      </c>
      <c r="I50" s="1">
        <f t="shared" si="7"/>
        <v>165.29142857142855</v>
      </c>
      <c r="J50" s="1">
        <f t="shared" si="9"/>
        <v>162.983</v>
      </c>
      <c r="L50">
        <f t="shared" si="0"/>
        <v>1.8799999999999955</v>
      </c>
      <c r="M50" s="1">
        <f t="shared" si="10"/>
        <v>2.8130000000000024</v>
      </c>
      <c r="N50" s="2">
        <f t="shared" si="1"/>
        <v>0.13171781696986518</v>
      </c>
      <c r="O50">
        <f t="shared" si="8"/>
        <v>1.0750676610172601E-2</v>
      </c>
      <c r="P50" s="16">
        <f t="shared" si="11"/>
        <v>9759523.8095238097</v>
      </c>
      <c r="Q50">
        <f t="shared" si="3"/>
        <v>153.66</v>
      </c>
      <c r="R50">
        <f t="shared" si="4"/>
        <v>162.84</v>
      </c>
      <c r="S50">
        <f t="shared" si="5"/>
        <v>176.69</v>
      </c>
      <c r="T50">
        <f t="shared" si="6"/>
        <v>23.03</v>
      </c>
    </row>
    <row r="51" spans="1:20" x14ac:dyDescent="0.25">
      <c r="A51" s="7">
        <v>45730</v>
      </c>
      <c r="B51">
        <v>162.81</v>
      </c>
      <c r="C51">
        <v>162.12</v>
      </c>
      <c r="D51">
        <v>163.15</v>
      </c>
      <c r="E51">
        <v>161.1</v>
      </c>
      <c r="F51">
        <v>6.24</v>
      </c>
      <c r="G51">
        <v>-0.11</v>
      </c>
      <c r="H51" s="9">
        <f t="shared" si="2"/>
        <v>6240000</v>
      </c>
      <c r="I51" s="1">
        <f t="shared" si="7"/>
        <v>164.96142857142857</v>
      </c>
      <c r="J51" s="1">
        <f t="shared" si="9"/>
        <v>163.261</v>
      </c>
      <c r="L51">
        <f t="shared" si="0"/>
        <v>2.0500000000000114</v>
      </c>
      <c r="M51" s="1">
        <f t="shared" si="10"/>
        <v>2.7485000000000026</v>
      </c>
      <c r="N51" s="2">
        <f t="shared" si="1"/>
        <v>0.13046799055686709</v>
      </c>
      <c r="O51">
        <f t="shared" si="8"/>
        <v>1.1271821851776196E-2</v>
      </c>
      <c r="P51" s="16">
        <f t="shared" si="11"/>
        <v>9687619.0476190485</v>
      </c>
      <c r="Q51">
        <f t="shared" si="3"/>
        <v>153.66</v>
      </c>
      <c r="R51">
        <f t="shared" si="4"/>
        <v>162.84</v>
      </c>
      <c r="S51">
        <f t="shared" si="5"/>
        <v>176.69</v>
      </c>
      <c r="T51">
        <f t="shared" si="6"/>
        <v>23.03</v>
      </c>
    </row>
    <row r="52" spans="1:20" x14ac:dyDescent="0.25">
      <c r="A52" s="7">
        <v>45733</v>
      </c>
      <c r="B52">
        <v>162.84</v>
      </c>
      <c r="C52">
        <v>162.41</v>
      </c>
      <c r="D52">
        <v>163.5</v>
      </c>
      <c r="E52">
        <v>161.72999999999999</v>
      </c>
      <c r="F52">
        <v>6.67</v>
      </c>
      <c r="G52">
        <v>0.02</v>
      </c>
      <c r="H52" s="9">
        <f t="shared" si="2"/>
        <v>6670000</v>
      </c>
      <c r="I52" s="1">
        <f t="shared" si="7"/>
        <v>164.53428571428572</v>
      </c>
      <c r="J52" s="1">
        <f t="shared" si="9"/>
        <v>163.59550000000002</v>
      </c>
      <c r="K52" s="1">
        <f t="shared" ref="K52:K83" si="12">AVERAGE(B3:B52)</f>
        <v>155.10720000000001</v>
      </c>
      <c r="L52">
        <f t="shared" si="0"/>
        <v>1.7700000000000102</v>
      </c>
      <c r="M52" s="1">
        <f t="shared" si="10"/>
        <v>2.7665000000000033</v>
      </c>
      <c r="N52" s="2">
        <f t="shared" si="1"/>
        <v>0.13067629495903343</v>
      </c>
      <c r="O52">
        <f t="shared" si="8"/>
        <v>1.1712505058750945E-2</v>
      </c>
      <c r="P52" s="16">
        <f t="shared" si="11"/>
        <v>9495238.0952380951</v>
      </c>
      <c r="Q52">
        <f t="shared" si="3"/>
        <v>153.66</v>
      </c>
      <c r="R52">
        <f t="shared" si="4"/>
        <v>162.84</v>
      </c>
      <c r="S52">
        <f t="shared" si="5"/>
        <v>176.69</v>
      </c>
      <c r="T52">
        <f t="shared" si="6"/>
        <v>23.03</v>
      </c>
    </row>
    <row r="53" spans="1:20" x14ac:dyDescent="0.25">
      <c r="A53" s="7">
        <v>45734</v>
      </c>
      <c r="B53">
        <v>164.25</v>
      </c>
      <c r="C53">
        <v>163.44</v>
      </c>
      <c r="D53">
        <v>164.86</v>
      </c>
      <c r="E53">
        <v>162.96</v>
      </c>
      <c r="F53">
        <v>7.35</v>
      </c>
      <c r="G53">
        <v>0.87</v>
      </c>
      <c r="H53" s="9">
        <f t="shared" si="2"/>
        <v>7350000</v>
      </c>
      <c r="I53" s="1">
        <f t="shared" si="7"/>
        <v>164.18571428571431</v>
      </c>
      <c r="J53" s="1">
        <f t="shared" si="9"/>
        <v>164.05849999999998</v>
      </c>
      <c r="K53" s="1">
        <f t="shared" si="12"/>
        <v>155.51179999999999</v>
      </c>
      <c r="L53">
        <f t="shared" si="0"/>
        <v>1.9000000000000057</v>
      </c>
      <c r="M53" s="1">
        <f t="shared" si="10"/>
        <v>2.7510000000000048</v>
      </c>
      <c r="N53" s="2">
        <f t="shared" si="1"/>
        <v>0.14046660186085247</v>
      </c>
      <c r="O53">
        <f t="shared" si="8"/>
        <v>1.1299929084276041E-2</v>
      </c>
      <c r="P53" s="16">
        <f t="shared" si="11"/>
        <v>9540000</v>
      </c>
      <c r="Q53">
        <f t="shared" si="3"/>
        <v>153.66</v>
      </c>
      <c r="R53">
        <f t="shared" si="4"/>
        <v>162.84</v>
      </c>
      <c r="S53">
        <f t="shared" si="5"/>
        <v>176.69</v>
      </c>
      <c r="T53">
        <f t="shared" si="6"/>
        <v>23.03</v>
      </c>
    </row>
    <row r="54" spans="1:20" x14ac:dyDescent="0.25">
      <c r="A54" s="7">
        <v>45735</v>
      </c>
      <c r="B54">
        <v>162.99</v>
      </c>
      <c r="C54">
        <v>163.97</v>
      </c>
      <c r="D54">
        <v>164.36</v>
      </c>
      <c r="E54">
        <v>162.21</v>
      </c>
      <c r="F54">
        <v>5.94</v>
      </c>
      <c r="G54">
        <v>-0.77</v>
      </c>
      <c r="H54" s="9">
        <f t="shared" si="2"/>
        <v>5940000</v>
      </c>
      <c r="I54" s="1">
        <f t="shared" si="7"/>
        <v>163.51285714285717</v>
      </c>
      <c r="J54" s="1">
        <f t="shared" ref="J54:J85" si="13">AVERAGE(B35:B54)</f>
        <v>164.31350000000003</v>
      </c>
      <c r="K54" s="1">
        <f t="shared" si="12"/>
        <v>155.8878</v>
      </c>
      <c r="L54">
        <f t="shared" si="0"/>
        <v>2.1500000000000057</v>
      </c>
      <c r="M54" s="1">
        <f t="shared" si="10"/>
        <v>2.6810000000000045</v>
      </c>
      <c r="N54" s="2">
        <f t="shared" si="1"/>
        <v>0.13171781696986518</v>
      </c>
      <c r="O54">
        <f t="shared" si="8"/>
        <v>1.163297677482435E-2</v>
      </c>
      <c r="P54" s="16">
        <f t="shared" si="11"/>
        <v>9362380.9523809515</v>
      </c>
      <c r="Q54">
        <f t="shared" si="3"/>
        <v>153.66</v>
      </c>
      <c r="R54">
        <f t="shared" si="4"/>
        <v>162.84</v>
      </c>
      <c r="S54">
        <f t="shared" si="5"/>
        <v>176.69</v>
      </c>
      <c r="T54">
        <f t="shared" si="6"/>
        <v>23.03</v>
      </c>
    </row>
    <row r="55" spans="1:20" x14ac:dyDescent="0.25">
      <c r="A55" s="7">
        <v>45736</v>
      </c>
      <c r="B55">
        <v>163.02000000000001</v>
      </c>
      <c r="C55">
        <v>163</v>
      </c>
      <c r="D55">
        <v>163.19999999999999</v>
      </c>
      <c r="E55">
        <v>161.93</v>
      </c>
      <c r="F55">
        <v>7.49</v>
      </c>
      <c r="G55">
        <v>0.02</v>
      </c>
      <c r="H55" s="9">
        <f t="shared" si="2"/>
        <v>7490000</v>
      </c>
      <c r="I55" s="1">
        <f t="shared" si="7"/>
        <v>163.10714285714286</v>
      </c>
      <c r="J55" s="1">
        <f t="shared" si="13"/>
        <v>164.48050000000001</v>
      </c>
      <c r="K55" s="1">
        <f t="shared" si="12"/>
        <v>156.27500000000001</v>
      </c>
      <c r="L55">
        <f t="shared" si="0"/>
        <v>1.2699999999999818</v>
      </c>
      <c r="M55" s="1">
        <f t="shared" si="10"/>
        <v>2.5945000000000036</v>
      </c>
      <c r="N55" s="2">
        <f t="shared" si="1"/>
        <v>0.13192612137203175</v>
      </c>
      <c r="O55">
        <f t="shared" si="8"/>
        <v>1.2063555207020283E-2</v>
      </c>
      <c r="P55" s="16">
        <f t="shared" si="11"/>
        <v>9339523.8095238097</v>
      </c>
      <c r="Q55">
        <f t="shared" si="3"/>
        <v>153.66</v>
      </c>
      <c r="R55">
        <f t="shared" si="4"/>
        <v>162.84</v>
      </c>
      <c r="S55">
        <f t="shared" si="5"/>
        <v>176.69</v>
      </c>
      <c r="T55">
        <f t="shared" si="6"/>
        <v>23.03</v>
      </c>
    </row>
    <row r="56" spans="1:20" x14ac:dyDescent="0.25">
      <c r="A56" s="7">
        <v>45737</v>
      </c>
      <c r="B56">
        <v>163.63</v>
      </c>
      <c r="C56">
        <v>163</v>
      </c>
      <c r="D56">
        <v>164.13</v>
      </c>
      <c r="E56">
        <v>162.47999999999999</v>
      </c>
      <c r="F56">
        <v>17.05</v>
      </c>
      <c r="G56">
        <v>0.37</v>
      </c>
      <c r="H56" s="9">
        <f t="shared" si="2"/>
        <v>17050000</v>
      </c>
      <c r="I56" s="1">
        <f t="shared" si="7"/>
        <v>163.21857142857144</v>
      </c>
      <c r="J56" s="1">
        <f t="shared" si="13"/>
        <v>164.547</v>
      </c>
      <c r="K56" s="1">
        <f t="shared" si="12"/>
        <v>156.62300000000002</v>
      </c>
      <c r="L56">
        <f t="shared" si="0"/>
        <v>1.6500000000000057</v>
      </c>
      <c r="M56" s="1">
        <f t="shared" si="10"/>
        <v>2.4655000000000045</v>
      </c>
      <c r="N56" s="2">
        <f t="shared" si="1"/>
        <v>0.1361616442160809</v>
      </c>
      <c r="O56">
        <f t="shared" si="8"/>
        <v>1.1090670027423141E-2</v>
      </c>
      <c r="P56" s="16">
        <f t="shared" si="11"/>
        <v>9807619.0476190485</v>
      </c>
      <c r="Q56">
        <f t="shared" si="3"/>
        <v>153.66</v>
      </c>
      <c r="R56">
        <f t="shared" si="4"/>
        <v>162.84</v>
      </c>
      <c r="S56">
        <f t="shared" si="5"/>
        <v>176.69</v>
      </c>
      <c r="T56">
        <f t="shared" si="6"/>
        <v>23.03</v>
      </c>
    </row>
    <row r="57" spans="1:20" x14ac:dyDescent="0.25">
      <c r="A57" s="7">
        <v>45740</v>
      </c>
      <c r="B57">
        <v>163.29</v>
      </c>
      <c r="C57">
        <v>162.84</v>
      </c>
      <c r="D57">
        <v>164.39</v>
      </c>
      <c r="E57">
        <v>162.5</v>
      </c>
      <c r="F57">
        <v>8.0500000000000007</v>
      </c>
      <c r="G57">
        <v>-0.21</v>
      </c>
      <c r="H57" s="9">
        <f t="shared" si="2"/>
        <v>8050000.0000000009</v>
      </c>
      <c r="I57" s="1">
        <f t="shared" si="7"/>
        <v>163.26142857142855</v>
      </c>
      <c r="J57" s="1">
        <f t="shared" si="13"/>
        <v>164.52450000000002</v>
      </c>
      <c r="K57" s="1">
        <f t="shared" si="12"/>
        <v>157.04339999999999</v>
      </c>
      <c r="L57">
        <f t="shared" si="0"/>
        <v>1.8899999999999864</v>
      </c>
      <c r="M57" s="1">
        <f t="shared" si="10"/>
        <v>2.419000000000004</v>
      </c>
      <c r="N57" s="2">
        <f t="shared" si="1"/>
        <v>0.13380086099152888</v>
      </c>
      <c r="O57">
        <f t="shared" si="8"/>
        <v>1.1089016465147372E-2</v>
      </c>
      <c r="P57" s="16">
        <f t="shared" si="11"/>
        <v>9593333.333333334</v>
      </c>
      <c r="Q57">
        <f t="shared" si="3"/>
        <v>153.66</v>
      </c>
      <c r="R57">
        <f t="shared" si="4"/>
        <v>162.84</v>
      </c>
      <c r="S57">
        <f t="shared" si="5"/>
        <v>176.69</v>
      </c>
      <c r="T57">
        <f t="shared" si="6"/>
        <v>23.03</v>
      </c>
    </row>
    <row r="58" spans="1:20" x14ac:dyDescent="0.25">
      <c r="A58" s="7">
        <v>45741</v>
      </c>
      <c r="B58">
        <v>161.02000000000001</v>
      </c>
      <c r="C58">
        <v>163.52000000000001</v>
      </c>
      <c r="D58">
        <v>164.19</v>
      </c>
      <c r="E58">
        <v>160.55000000000001</v>
      </c>
      <c r="F58">
        <v>7.46</v>
      </c>
      <c r="G58">
        <v>-1.39</v>
      </c>
      <c r="H58" s="9">
        <f t="shared" si="2"/>
        <v>7460000</v>
      </c>
      <c r="I58" s="1">
        <f t="shared" si="7"/>
        <v>163.00571428571428</v>
      </c>
      <c r="J58" s="1">
        <f t="shared" si="13"/>
        <v>164.27100000000002</v>
      </c>
      <c r="K58" s="1">
        <f t="shared" si="12"/>
        <v>157.42259999999999</v>
      </c>
      <c r="L58">
        <f t="shared" si="0"/>
        <v>3.6399999999999864</v>
      </c>
      <c r="M58" s="1">
        <f t="shared" si="10"/>
        <v>2.4765000000000028</v>
      </c>
      <c r="N58" s="2">
        <f t="shared" si="1"/>
        <v>0.11803916122760727</v>
      </c>
      <c r="O58">
        <f t="shared" si="8"/>
        <v>1.2365233450344128E-2</v>
      </c>
      <c r="P58" s="16">
        <f t="shared" si="11"/>
        <v>9462857.1428571437</v>
      </c>
      <c r="Q58">
        <f t="shared" si="3"/>
        <v>153.66</v>
      </c>
      <c r="R58">
        <f t="shared" si="4"/>
        <v>162.84</v>
      </c>
      <c r="S58">
        <f t="shared" si="5"/>
        <v>176.69</v>
      </c>
      <c r="T58">
        <f t="shared" si="6"/>
        <v>23.03</v>
      </c>
    </row>
    <row r="59" spans="1:20" x14ac:dyDescent="0.25">
      <c r="A59" s="7">
        <v>45742</v>
      </c>
      <c r="B59">
        <v>161.72</v>
      </c>
      <c r="C59">
        <v>161.21</v>
      </c>
      <c r="D59">
        <v>162.49</v>
      </c>
      <c r="E59">
        <v>160.63999999999999</v>
      </c>
      <c r="F59">
        <v>7.22</v>
      </c>
      <c r="G59">
        <v>0.43</v>
      </c>
      <c r="H59" s="9">
        <f t="shared" si="2"/>
        <v>7220000</v>
      </c>
      <c r="I59" s="1">
        <f t="shared" si="7"/>
        <v>162.84571428571425</v>
      </c>
      <c r="J59" s="1">
        <f t="shared" si="13"/>
        <v>164.203</v>
      </c>
      <c r="K59" s="1">
        <f t="shared" si="12"/>
        <v>157.76760000000002</v>
      </c>
      <c r="L59">
        <f t="shared" si="0"/>
        <v>1.8500000000000227</v>
      </c>
      <c r="M59" s="1">
        <f t="shared" si="10"/>
        <v>2.4400000000000048</v>
      </c>
      <c r="N59" s="2">
        <f t="shared" si="1"/>
        <v>0.12289959727815569</v>
      </c>
      <c r="O59">
        <f t="shared" si="8"/>
        <v>1.2435754255710236E-2</v>
      </c>
      <c r="P59" s="16">
        <f t="shared" si="11"/>
        <v>9220952.3809523806</v>
      </c>
      <c r="Q59">
        <f t="shared" si="3"/>
        <v>153.66</v>
      </c>
      <c r="R59">
        <f t="shared" si="4"/>
        <v>162.84</v>
      </c>
      <c r="S59">
        <f t="shared" si="5"/>
        <v>176.69</v>
      </c>
      <c r="T59">
        <f t="shared" si="6"/>
        <v>23.03</v>
      </c>
    </row>
    <row r="60" spans="1:20" x14ac:dyDescent="0.25">
      <c r="A60" s="7">
        <v>45743</v>
      </c>
      <c r="B60">
        <v>163.13</v>
      </c>
      <c r="C60">
        <v>162.35</v>
      </c>
      <c r="D60">
        <v>164.07</v>
      </c>
      <c r="E60">
        <v>161.32</v>
      </c>
      <c r="F60">
        <v>6.75</v>
      </c>
      <c r="G60">
        <v>0.87</v>
      </c>
      <c r="H60" s="9">
        <f t="shared" si="2"/>
        <v>6750000</v>
      </c>
      <c r="I60" s="1">
        <f t="shared" si="7"/>
        <v>162.68571428571428</v>
      </c>
      <c r="J60" s="1">
        <f t="shared" si="13"/>
        <v>164.17299999999997</v>
      </c>
      <c r="K60" s="1">
        <f t="shared" si="12"/>
        <v>158.1352</v>
      </c>
      <c r="L60">
        <f t="shared" si="0"/>
        <v>2.75</v>
      </c>
      <c r="M60" s="1">
        <f t="shared" si="10"/>
        <v>2.4665000000000048</v>
      </c>
      <c r="N60" s="2">
        <f t="shared" si="1"/>
        <v>0.13268990417997495</v>
      </c>
      <c r="O60">
        <f t="shared" si="8"/>
        <v>1.1028015010206416E-2</v>
      </c>
      <c r="P60" s="16">
        <f t="shared" si="11"/>
        <v>8999523.8095238097</v>
      </c>
      <c r="Q60">
        <f t="shared" si="3"/>
        <v>153.66</v>
      </c>
      <c r="R60">
        <f t="shared" si="4"/>
        <v>162.84</v>
      </c>
      <c r="S60">
        <f t="shared" si="5"/>
        <v>176.69</v>
      </c>
      <c r="T60">
        <f t="shared" si="6"/>
        <v>23.03</v>
      </c>
    </row>
    <row r="61" spans="1:20" x14ac:dyDescent="0.25">
      <c r="A61" s="7">
        <v>45744</v>
      </c>
      <c r="B61">
        <v>163.71</v>
      </c>
      <c r="C61">
        <v>163.59</v>
      </c>
      <c r="D61">
        <v>164.52</v>
      </c>
      <c r="E61">
        <v>162.91</v>
      </c>
      <c r="F61">
        <v>5.76</v>
      </c>
      <c r="G61">
        <v>0.36</v>
      </c>
      <c r="H61" s="9">
        <f t="shared" si="2"/>
        <v>5760000</v>
      </c>
      <c r="I61" s="1">
        <f t="shared" si="7"/>
        <v>162.78857142857143</v>
      </c>
      <c r="J61" s="1">
        <f t="shared" si="13"/>
        <v>164.10750000000002</v>
      </c>
      <c r="K61" s="1">
        <f t="shared" si="12"/>
        <v>158.51000000000002</v>
      </c>
      <c r="L61">
        <f t="shared" si="0"/>
        <v>1.6100000000000136</v>
      </c>
      <c r="M61" s="1">
        <f t="shared" si="10"/>
        <v>2.3850000000000051</v>
      </c>
      <c r="N61" s="2">
        <f t="shared" si="1"/>
        <v>0.13671712262185798</v>
      </c>
      <c r="O61">
        <f t="shared" si="8"/>
        <v>7.4390411937472842E-3</v>
      </c>
      <c r="P61" s="16">
        <f t="shared" si="11"/>
        <v>8875714.2857142854</v>
      </c>
      <c r="Q61">
        <f t="shared" si="3"/>
        <v>153.66</v>
      </c>
      <c r="R61">
        <f t="shared" si="4"/>
        <v>162.84</v>
      </c>
      <c r="S61">
        <f t="shared" si="5"/>
        <v>176.69</v>
      </c>
      <c r="T61">
        <f t="shared" si="6"/>
        <v>23.03</v>
      </c>
    </row>
    <row r="62" spans="1:20" x14ac:dyDescent="0.25">
      <c r="A62" s="7">
        <v>45747</v>
      </c>
      <c r="B62">
        <v>165.84</v>
      </c>
      <c r="C62">
        <v>164.37</v>
      </c>
      <c r="D62">
        <v>166.63</v>
      </c>
      <c r="E62">
        <v>164.23</v>
      </c>
      <c r="F62">
        <v>12.48</v>
      </c>
      <c r="G62">
        <v>1.3</v>
      </c>
      <c r="H62" s="9">
        <f t="shared" si="2"/>
        <v>12480000</v>
      </c>
      <c r="I62" s="1">
        <f t="shared" si="7"/>
        <v>163.19142857142856</v>
      </c>
      <c r="J62" s="1">
        <f t="shared" si="13"/>
        <v>164.03550000000001</v>
      </c>
      <c r="K62" s="1">
        <f t="shared" si="12"/>
        <v>158.87140000000002</v>
      </c>
      <c r="L62">
        <f t="shared" si="0"/>
        <v>2.4000000000000057</v>
      </c>
      <c r="M62" s="1">
        <f t="shared" si="10"/>
        <v>2.3805000000000049</v>
      </c>
      <c r="N62" s="2">
        <f t="shared" si="1"/>
        <v>0.15150673517567004</v>
      </c>
      <c r="O62">
        <f t="shared" si="8"/>
        <v>7.4140011728598583E-3</v>
      </c>
      <c r="P62" s="16">
        <f t="shared" si="11"/>
        <v>8896666.666666666</v>
      </c>
      <c r="Q62">
        <f t="shared" si="3"/>
        <v>153.66</v>
      </c>
      <c r="R62">
        <f t="shared" si="4"/>
        <v>162.84</v>
      </c>
      <c r="S62">
        <f t="shared" si="5"/>
        <v>176.69</v>
      </c>
      <c r="T62">
        <f t="shared" si="6"/>
        <v>23.03</v>
      </c>
    </row>
    <row r="63" spans="1:20" x14ac:dyDescent="0.25">
      <c r="A63" s="7">
        <v>45748</v>
      </c>
      <c r="B63">
        <v>153.25</v>
      </c>
      <c r="C63">
        <v>160.72999999999999</v>
      </c>
      <c r="D63">
        <v>161.81</v>
      </c>
      <c r="E63">
        <v>153.13</v>
      </c>
      <c r="F63">
        <v>23.3</v>
      </c>
      <c r="G63">
        <v>-7.59</v>
      </c>
      <c r="H63" s="9">
        <f t="shared" si="2"/>
        <v>23300000</v>
      </c>
      <c r="I63" s="1">
        <f t="shared" si="7"/>
        <v>161.70857142857145</v>
      </c>
      <c r="J63" s="1">
        <f t="shared" si="13"/>
        <v>163.42699999999999</v>
      </c>
      <c r="K63" s="1">
        <f t="shared" si="12"/>
        <v>158.99580000000003</v>
      </c>
      <c r="L63">
        <f t="shared" si="0"/>
        <v>8.6800000000000068</v>
      </c>
      <c r="M63" s="1">
        <f t="shared" si="10"/>
        <v>2.5810000000000044</v>
      </c>
      <c r="N63" s="2">
        <f t="shared" si="1"/>
        <v>6.4088321066518406E-2</v>
      </c>
      <c r="O63">
        <f t="shared" si="8"/>
        <v>1.9221307392241566E-2</v>
      </c>
      <c r="P63" s="16">
        <f t="shared" si="11"/>
        <v>9568571.4285714291</v>
      </c>
      <c r="Q63">
        <f t="shared" si="3"/>
        <v>153.66</v>
      </c>
      <c r="R63">
        <f t="shared" si="4"/>
        <v>162.84</v>
      </c>
      <c r="S63">
        <f t="shared" si="5"/>
        <v>176.69</v>
      </c>
      <c r="T63">
        <f t="shared" si="6"/>
        <v>23.03</v>
      </c>
    </row>
    <row r="64" spans="1:20" x14ac:dyDescent="0.25">
      <c r="A64" s="7">
        <v>45749</v>
      </c>
      <c r="B64">
        <v>155.36000000000001</v>
      </c>
      <c r="C64">
        <v>154.01</v>
      </c>
      <c r="D64">
        <v>155.79</v>
      </c>
      <c r="E64">
        <v>153.44999999999999</v>
      </c>
      <c r="F64">
        <v>10.36</v>
      </c>
      <c r="G64">
        <v>1.38</v>
      </c>
      <c r="H64" s="9">
        <f t="shared" si="2"/>
        <v>10360000</v>
      </c>
      <c r="I64" s="1">
        <f t="shared" si="7"/>
        <v>160.57571428571433</v>
      </c>
      <c r="J64" s="1">
        <f t="shared" si="13"/>
        <v>162.93900000000002</v>
      </c>
      <c r="K64" s="1">
        <f t="shared" si="12"/>
        <v>159.14000000000001</v>
      </c>
      <c r="L64">
        <f t="shared" si="0"/>
        <v>2.3400000000000034</v>
      </c>
      <c r="M64" s="1">
        <f t="shared" si="10"/>
        <v>2.5515000000000043</v>
      </c>
      <c r="N64" s="2">
        <f t="shared" si="1"/>
        <v>7.8739064018886307E-2</v>
      </c>
      <c r="O64">
        <f t="shared" si="8"/>
        <v>2.2977297296326502E-2</v>
      </c>
      <c r="P64" s="16">
        <f t="shared" si="11"/>
        <v>9490476.1904761903</v>
      </c>
      <c r="Q64">
        <f t="shared" si="3"/>
        <v>153.66</v>
      </c>
      <c r="R64">
        <f t="shared" si="4"/>
        <v>162.84</v>
      </c>
      <c r="S64">
        <f t="shared" si="5"/>
        <v>176.69</v>
      </c>
      <c r="T64">
        <f t="shared" si="6"/>
        <v>23.03</v>
      </c>
    </row>
    <row r="65" spans="1:20" x14ac:dyDescent="0.25">
      <c r="A65" s="7">
        <v>45750</v>
      </c>
      <c r="B65">
        <v>159.82</v>
      </c>
      <c r="C65">
        <v>158.75</v>
      </c>
      <c r="D65">
        <v>160.65</v>
      </c>
      <c r="E65">
        <v>157.47999999999999</v>
      </c>
      <c r="F65">
        <v>13.25</v>
      </c>
      <c r="G65">
        <v>2.87</v>
      </c>
      <c r="H65" s="9">
        <f t="shared" si="2"/>
        <v>13250000</v>
      </c>
      <c r="I65" s="1">
        <f t="shared" si="7"/>
        <v>160.40428571428575</v>
      </c>
      <c r="J65" s="1">
        <f t="shared" si="13"/>
        <v>162.63850000000002</v>
      </c>
      <c r="K65" s="1">
        <f t="shared" si="12"/>
        <v>159.43100000000001</v>
      </c>
      <c r="L65">
        <f t="shared" si="0"/>
        <v>3.1700000000000159</v>
      </c>
      <c r="M65" s="1">
        <f t="shared" si="10"/>
        <v>2.5920000000000045</v>
      </c>
      <c r="N65" s="2">
        <f t="shared" si="1"/>
        <v>0.10970698514095245</v>
      </c>
      <c r="O65">
        <f t="shared" si="8"/>
        <v>2.3198850956931558E-2</v>
      </c>
      <c r="P65" s="16">
        <f t="shared" si="11"/>
        <v>9704761.9047619049</v>
      </c>
      <c r="Q65">
        <f t="shared" si="3"/>
        <v>153.66</v>
      </c>
      <c r="R65">
        <f t="shared" si="4"/>
        <v>162.84</v>
      </c>
      <c r="S65">
        <f t="shared" si="5"/>
        <v>176.69</v>
      </c>
      <c r="T65">
        <f t="shared" si="6"/>
        <v>23.03</v>
      </c>
    </row>
    <row r="66" spans="1:20" x14ac:dyDescent="0.25">
      <c r="A66" s="7">
        <v>45751</v>
      </c>
      <c r="B66">
        <v>153.24</v>
      </c>
      <c r="C66">
        <v>159.15</v>
      </c>
      <c r="D66">
        <v>159.82</v>
      </c>
      <c r="E66">
        <v>152.93</v>
      </c>
      <c r="F66">
        <v>16.600000000000001</v>
      </c>
      <c r="G66">
        <v>-4.12</v>
      </c>
      <c r="H66" s="9">
        <f t="shared" si="2"/>
        <v>16600000.000000002</v>
      </c>
      <c r="I66" s="1">
        <f t="shared" si="7"/>
        <v>159.19285714285715</v>
      </c>
      <c r="J66" s="1">
        <f t="shared" si="13"/>
        <v>161.96600000000004</v>
      </c>
      <c r="K66" s="1">
        <f t="shared" si="12"/>
        <v>159.56299999999999</v>
      </c>
      <c r="L66">
        <f t="shared" si="0"/>
        <v>6.8899999999999864</v>
      </c>
      <c r="M66" s="1">
        <f t="shared" si="10"/>
        <v>2.7485000000000026</v>
      </c>
      <c r="N66" s="2">
        <f t="shared" si="1"/>
        <v>6.4018886265796437E-2</v>
      </c>
      <c r="O66">
        <f t="shared" si="8"/>
        <v>2.7528968532559876E-2</v>
      </c>
      <c r="P66" s="16">
        <f t="shared" si="11"/>
        <v>10112380.952380951</v>
      </c>
      <c r="Q66">
        <f t="shared" si="3"/>
        <v>153.66</v>
      </c>
      <c r="R66">
        <f t="shared" si="4"/>
        <v>162.84</v>
      </c>
      <c r="S66">
        <f t="shared" si="5"/>
        <v>176.69</v>
      </c>
      <c r="T66">
        <f t="shared" si="6"/>
        <v>23.03</v>
      </c>
    </row>
    <row r="67" spans="1:20" x14ac:dyDescent="0.25">
      <c r="A67" s="7">
        <v>45754</v>
      </c>
      <c r="B67">
        <v>150.62</v>
      </c>
      <c r="C67">
        <v>151.28</v>
      </c>
      <c r="D67">
        <v>152.71</v>
      </c>
      <c r="E67">
        <v>147.4</v>
      </c>
      <c r="F67">
        <v>18.079999999999998</v>
      </c>
      <c r="G67">
        <v>-1.71</v>
      </c>
      <c r="H67" s="9">
        <f t="shared" si="2"/>
        <v>18080000</v>
      </c>
      <c r="I67" s="1">
        <f t="shared" si="7"/>
        <v>157.40571428571431</v>
      </c>
      <c r="J67" s="1">
        <f t="shared" si="13"/>
        <v>161.11200000000002</v>
      </c>
      <c r="K67" s="1">
        <f t="shared" si="12"/>
        <v>159.63900000000001</v>
      </c>
      <c r="L67">
        <f t="shared" ref="L67:L130" si="14">D67-E67</f>
        <v>5.3100000000000023</v>
      </c>
      <c r="M67" s="1">
        <f t="shared" si="10"/>
        <v>2.8715000000000033</v>
      </c>
      <c r="N67" s="2">
        <f t="shared" ref="N67:N130" si="15">(B67/$B$3)-1</f>
        <v>4.5826968476600394E-2</v>
      </c>
      <c r="O67">
        <f t="shared" si="8"/>
        <v>3.2382455577111439E-2</v>
      </c>
      <c r="P67" s="16">
        <f t="shared" si="11"/>
        <v>10514285.714285715</v>
      </c>
      <c r="Q67">
        <f t="shared" si="3"/>
        <v>153.66</v>
      </c>
      <c r="R67">
        <f t="shared" si="4"/>
        <v>162.84</v>
      </c>
      <c r="S67">
        <f t="shared" si="5"/>
        <v>176.69</v>
      </c>
      <c r="T67">
        <f t="shared" si="6"/>
        <v>23.03</v>
      </c>
    </row>
    <row r="68" spans="1:20" x14ac:dyDescent="0.25">
      <c r="A68" s="7">
        <v>45755</v>
      </c>
      <c r="B68">
        <v>150</v>
      </c>
      <c r="C68">
        <v>153.59</v>
      </c>
      <c r="D68">
        <v>153.59</v>
      </c>
      <c r="E68">
        <v>148</v>
      </c>
      <c r="F68">
        <v>12.02</v>
      </c>
      <c r="G68">
        <v>-0.41</v>
      </c>
      <c r="H68" s="9">
        <f t="shared" ref="H68:H131" si="16">F68*1000000</f>
        <v>12020000</v>
      </c>
      <c r="I68" s="1">
        <f t="shared" si="7"/>
        <v>155.44714285714286</v>
      </c>
      <c r="J68" s="1">
        <f t="shared" si="13"/>
        <v>160.31900000000002</v>
      </c>
      <c r="K68" s="1">
        <f t="shared" si="12"/>
        <v>159.5812</v>
      </c>
      <c r="L68">
        <f t="shared" si="14"/>
        <v>5.5900000000000034</v>
      </c>
      <c r="M68" s="1">
        <f t="shared" si="10"/>
        <v>3.0385000000000035</v>
      </c>
      <c r="N68" s="2">
        <f t="shared" si="15"/>
        <v>4.1522010831828826E-2</v>
      </c>
      <c r="O68">
        <f t="shared" si="8"/>
        <v>3.639767237994225E-2</v>
      </c>
      <c r="P68" s="16">
        <f t="shared" si="11"/>
        <v>10250476.19047619</v>
      </c>
      <c r="Q68">
        <f t="shared" ref="Q68:Q131" si="17">_xlfn.QUARTILE.EXC($B:$B,1)</f>
        <v>153.66</v>
      </c>
      <c r="R68">
        <f t="shared" ref="R68:R131" si="18">_xlfn.QUARTILE.EXC($B:$B,2)</f>
        <v>162.84</v>
      </c>
      <c r="S68">
        <f t="shared" ref="S68:S131" si="19">_xlfn.QUARTILE.EXC($B:$B,3)</f>
        <v>176.69</v>
      </c>
      <c r="T68">
        <f t="shared" ref="T68:T131" si="20">S68-Q68</f>
        <v>23.03</v>
      </c>
    </row>
    <row r="69" spans="1:20" x14ac:dyDescent="0.25">
      <c r="A69" s="7">
        <v>45756</v>
      </c>
      <c r="B69">
        <v>150.97</v>
      </c>
      <c r="C69">
        <v>142.19999999999999</v>
      </c>
      <c r="D69">
        <v>153.19</v>
      </c>
      <c r="E69">
        <v>141.5</v>
      </c>
      <c r="F69">
        <v>18.77</v>
      </c>
      <c r="G69">
        <v>0.65</v>
      </c>
      <c r="H69" s="9">
        <f t="shared" si="16"/>
        <v>18770000</v>
      </c>
      <c r="I69" s="1">
        <f t="shared" si="7"/>
        <v>153.32285714285715</v>
      </c>
      <c r="J69" s="1">
        <f t="shared" si="13"/>
        <v>159.72500000000002</v>
      </c>
      <c r="K69" s="1">
        <f t="shared" si="12"/>
        <v>159.59300000000002</v>
      </c>
      <c r="L69">
        <f t="shared" si="14"/>
        <v>11.689999999999998</v>
      </c>
      <c r="M69" s="1">
        <f t="shared" si="10"/>
        <v>3.5240000000000022</v>
      </c>
      <c r="N69" s="2">
        <f t="shared" si="15"/>
        <v>4.8257186501874605E-2</v>
      </c>
      <c r="O69">
        <f t="shared" si="8"/>
        <v>3.827867332409008E-2</v>
      </c>
      <c r="P69" s="16">
        <f t="shared" si="11"/>
        <v>10673333.333333334</v>
      </c>
      <c r="Q69">
        <f t="shared" si="17"/>
        <v>153.66</v>
      </c>
      <c r="R69">
        <f t="shared" si="18"/>
        <v>162.84</v>
      </c>
      <c r="S69">
        <f t="shared" si="19"/>
        <v>176.69</v>
      </c>
      <c r="T69">
        <f t="shared" si="20"/>
        <v>23.03</v>
      </c>
    </row>
    <row r="70" spans="1:20" x14ac:dyDescent="0.25">
      <c r="A70" s="7">
        <v>45757</v>
      </c>
      <c r="B70">
        <v>148.69</v>
      </c>
      <c r="C70">
        <v>150.37</v>
      </c>
      <c r="D70">
        <v>151.19999999999999</v>
      </c>
      <c r="E70">
        <v>145.13</v>
      </c>
      <c r="F70">
        <v>13.83</v>
      </c>
      <c r="G70">
        <v>-1.51</v>
      </c>
      <c r="H70" s="9">
        <f t="shared" si="16"/>
        <v>13830000</v>
      </c>
      <c r="I70" s="1">
        <f t="shared" si="7"/>
        <v>152.67142857142858</v>
      </c>
      <c r="J70" s="1">
        <f t="shared" si="13"/>
        <v>159.01</v>
      </c>
      <c r="K70" s="1">
        <f t="shared" si="12"/>
        <v>159.5438</v>
      </c>
      <c r="L70">
        <f t="shared" si="14"/>
        <v>6.0699999999999932</v>
      </c>
      <c r="M70" s="1">
        <f t="shared" si="10"/>
        <v>3.733500000000002</v>
      </c>
      <c r="N70" s="2">
        <f t="shared" si="15"/>
        <v>3.2426051937230804E-2</v>
      </c>
      <c r="O70">
        <f t="shared" si="8"/>
        <v>4.032549080021456E-2</v>
      </c>
      <c r="P70" s="16">
        <f t="shared" si="11"/>
        <v>10950476.19047619</v>
      </c>
      <c r="Q70">
        <f t="shared" si="17"/>
        <v>153.66</v>
      </c>
      <c r="R70">
        <f t="shared" si="18"/>
        <v>162.84</v>
      </c>
      <c r="S70">
        <f t="shared" si="19"/>
        <v>176.69</v>
      </c>
      <c r="T70">
        <f t="shared" si="20"/>
        <v>23.03</v>
      </c>
    </row>
    <row r="71" spans="1:20" x14ac:dyDescent="0.25">
      <c r="A71" s="7">
        <v>45758</v>
      </c>
      <c r="B71">
        <v>151.72999999999999</v>
      </c>
      <c r="C71">
        <v>149.33000000000001</v>
      </c>
      <c r="D71">
        <v>152.35</v>
      </c>
      <c r="E71">
        <v>148.19</v>
      </c>
      <c r="F71">
        <v>9.94</v>
      </c>
      <c r="G71">
        <v>2.04</v>
      </c>
      <c r="H71" s="9">
        <f t="shared" si="16"/>
        <v>9940000</v>
      </c>
      <c r="I71" s="1">
        <f t="shared" si="7"/>
        <v>152.15285714285716</v>
      </c>
      <c r="J71" s="1">
        <f t="shared" si="13"/>
        <v>158.45599999999996</v>
      </c>
      <c r="K71" s="1">
        <f t="shared" si="12"/>
        <v>159.52100000000002</v>
      </c>
      <c r="L71">
        <f t="shared" si="14"/>
        <v>4.1599999999999966</v>
      </c>
      <c r="M71" s="1">
        <f t="shared" si="10"/>
        <v>3.8390000000000013</v>
      </c>
      <c r="N71" s="2">
        <f t="shared" si="15"/>
        <v>5.3534231356755946E-2</v>
      </c>
      <c r="O71">
        <f t="shared" si="8"/>
        <v>3.9595406253430138E-2</v>
      </c>
      <c r="P71" s="16">
        <f t="shared" si="11"/>
        <v>11171904.761904761</v>
      </c>
      <c r="Q71">
        <f t="shared" si="17"/>
        <v>153.66</v>
      </c>
      <c r="R71">
        <f t="shared" si="18"/>
        <v>162.84</v>
      </c>
      <c r="S71">
        <f t="shared" si="19"/>
        <v>176.69</v>
      </c>
      <c r="T71">
        <f t="shared" si="20"/>
        <v>23.03</v>
      </c>
    </row>
    <row r="72" spans="1:20" x14ac:dyDescent="0.25">
      <c r="A72" s="7">
        <v>45761</v>
      </c>
      <c r="B72">
        <v>154.36000000000001</v>
      </c>
      <c r="C72">
        <v>151.59</v>
      </c>
      <c r="D72">
        <v>154.66999999999999</v>
      </c>
      <c r="E72">
        <v>151.16999999999999</v>
      </c>
      <c r="F72">
        <v>10.69</v>
      </c>
      <c r="G72">
        <v>1.73</v>
      </c>
      <c r="H72" s="9">
        <f t="shared" si="16"/>
        <v>10690000</v>
      </c>
      <c r="I72" s="1">
        <f t="shared" si="7"/>
        <v>151.37285714285716</v>
      </c>
      <c r="J72" s="1">
        <f t="shared" si="13"/>
        <v>158.03199999999998</v>
      </c>
      <c r="K72" s="1">
        <f t="shared" si="12"/>
        <v>159.5652</v>
      </c>
      <c r="L72">
        <f t="shared" si="14"/>
        <v>3.5</v>
      </c>
      <c r="M72" s="1">
        <f t="shared" si="10"/>
        <v>3.9255000000000009</v>
      </c>
      <c r="N72" s="2">
        <f t="shared" si="15"/>
        <v>7.179558394667418E-2</v>
      </c>
      <c r="O72">
        <f t="shared" si="8"/>
        <v>3.8679127081219032E-2</v>
      </c>
      <c r="P72" s="16">
        <f t="shared" si="11"/>
        <v>11383809.523809524</v>
      </c>
      <c r="Q72">
        <f t="shared" si="17"/>
        <v>153.66</v>
      </c>
      <c r="R72">
        <f t="shared" si="18"/>
        <v>162.84</v>
      </c>
      <c r="S72">
        <f t="shared" si="19"/>
        <v>176.69</v>
      </c>
      <c r="T72">
        <f t="shared" si="20"/>
        <v>23.03</v>
      </c>
    </row>
    <row r="73" spans="1:20" x14ac:dyDescent="0.25">
      <c r="A73" s="7">
        <v>45762</v>
      </c>
      <c r="B73">
        <v>153.62</v>
      </c>
      <c r="C73">
        <v>155.69999999999999</v>
      </c>
      <c r="D73">
        <v>156.30000000000001</v>
      </c>
      <c r="E73">
        <v>152.1</v>
      </c>
      <c r="F73">
        <v>10.85</v>
      </c>
      <c r="G73">
        <v>-0.48</v>
      </c>
      <c r="H73" s="9">
        <f t="shared" si="16"/>
        <v>10850000</v>
      </c>
      <c r="I73" s="1">
        <f t="shared" si="7"/>
        <v>151.42714285714285</v>
      </c>
      <c r="J73" s="1">
        <f t="shared" si="13"/>
        <v>157.50049999999999</v>
      </c>
      <c r="K73" s="1">
        <f t="shared" si="12"/>
        <v>159.6002</v>
      </c>
      <c r="L73">
        <f t="shared" si="14"/>
        <v>4.2000000000000171</v>
      </c>
      <c r="M73" s="1">
        <f t="shared" si="10"/>
        <v>4.0405000000000015</v>
      </c>
      <c r="N73" s="2">
        <f t="shared" si="15"/>
        <v>6.6657408693236997E-2</v>
      </c>
      <c r="O73">
        <f t="shared" si="8"/>
        <v>3.7155803189460303E-2</v>
      </c>
      <c r="P73" s="16">
        <f t="shared" si="11"/>
        <v>11582857.142857144</v>
      </c>
      <c r="Q73">
        <f t="shared" si="17"/>
        <v>153.66</v>
      </c>
      <c r="R73">
        <f t="shared" si="18"/>
        <v>162.84</v>
      </c>
      <c r="S73">
        <f t="shared" si="19"/>
        <v>176.69</v>
      </c>
      <c r="T73">
        <f t="shared" si="20"/>
        <v>23.03</v>
      </c>
    </row>
    <row r="74" spans="1:20" x14ac:dyDescent="0.25">
      <c r="A74" s="7">
        <v>45763</v>
      </c>
      <c r="B74">
        <v>153.91</v>
      </c>
      <c r="C74">
        <v>155.37</v>
      </c>
      <c r="D74">
        <v>155.63</v>
      </c>
      <c r="E74">
        <v>152.24</v>
      </c>
      <c r="F74">
        <v>7.99</v>
      </c>
      <c r="G74">
        <v>0.19</v>
      </c>
      <c r="H74" s="9">
        <f t="shared" si="16"/>
        <v>7990000</v>
      </c>
      <c r="I74" s="1">
        <f t="shared" ref="I74:I137" si="21">AVERAGE(B68:B74)</f>
        <v>151.89714285714285</v>
      </c>
      <c r="J74" s="1">
        <f t="shared" si="13"/>
        <v>157.04649999999998</v>
      </c>
      <c r="K74" s="1">
        <f t="shared" si="12"/>
        <v>159.6086</v>
      </c>
      <c r="L74">
        <f t="shared" si="14"/>
        <v>3.3899999999999864</v>
      </c>
      <c r="M74" s="1">
        <f t="shared" si="10"/>
        <v>4.1025000000000009</v>
      </c>
      <c r="N74" s="2">
        <f t="shared" si="15"/>
        <v>6.8671017914178512E-2</v>
      </c>
      <c r="O74">
        <f t="shared" si="8"/>
        <v>3.3997088985520084E-2</v>
      </c>
      <c r="P74" s="16">
        <f t="shared" si="11"/>
        <v>11613333.333333334</v>
      </c>
      <c r="Q74">
        <f t="shared" si="17"/>
        <v>153.66</v>
      </c>
      <c r="R74">
        <f t="shared" si="18"/>
        <v>162.84</v>
      </c>
      <c r="S74">
        <f t="shared" si="19"/>
        <v>176.69</v>
      </c>
      <c r="T74">
        <f t="shared" si="20"/>
        <v>23.03</v>
      </c>
    </row>
    <row r="75" spans="1:20" x14ac:dyDescent="0.25">
      <c r="A75" s="7">
        <v>45764</v>
      </c>
      <c r="B75">
        <v>157.47</v>
      </c>
      <c r="C75">
        <v>154.16</v>
      </c>
      <c r="D75">
        <v>159.44</v>
      </c>
      <c r="E75">
        <v>154.16</v>
      </c>
      <c r="F75">
        <v>10.98</v>
      </c>
      <c r="G75">
        <v>2.31</v>
      </c>
      <c r="H75" s="9">
        <f t="shared" si="16"/>
        <v>10980000</v>
      </c>
      <c r="I75" s="1">
        <f t="shared" si="21"/>
        <v>152.96428571428572</v>
      </c>
      <c r="J75" s="1">
        <f t="shared" si="13"/>
        <v>156.76899999999995</v>
      </c>
      <c r="K75" s="1">
        <f t="shared" si="12"/>
        <v>159.66419999999999</v>
      </c>
      <c r="L75">
        <f t="shared" si="14"/>
        <v>5.2800000000000011</v>
      </c>
      <c r="M75" s="1">
        <f t="shared" si="10"/>
        <v>4.3030000000000017</v>
      </c>
      <c r="N75" s="2">
        <f t="shared" si="15"/>
        <v>9.3389806971253986E-2</v>
      </c>
      <c r="O75">
        <f t="shared" si="8"/>
        <v>2.9849612939278021E-2</v>
      </c>
      <c r="P75" s="16">
        <f t="shared" si="11"/>
        <v>11853333.333333334</v>
      </c>
      <c r="Q75">
        <f t="shared" si="17"/>
        <v>153.66</v>
      </c>
      <c r="R75">
        <f t="shared" si="18"/>
        <v>162.84</v>
      </c>
      <c r="S75">
        <f t="shared" si="19"/>
        <v>176.69</v>
      </c>
      <c r="T75">
        <f t="shared" si="20"/>
        <v>23.03</v>
      </c>
    </row>
    <row r="76" spans="1:20" x14ac:dyDescent="0.25">
      <c r="A76" s="7">
        <v>45768</v>
      </c>
      <c r="B76">
        <v>156.91999999999999</v>
      </c>
      <c r="C76">
        <v>157.96</v>
      </c>
      <c r="D76">
        <v>158.22999999999999</v>
      </c>
      <c r="E76">
        <v>155.49</v>
      </c>
      <c r="F76">
        <v>6.29</v>
      </c>
      <c r="G76">
        <v>-0.35</v>
      </c>
      <c r="H76" s="9">
        <f t="shared" si="16"/>
        <v>6290000</v>
      </c>
      <c r="I76" s="1">
        <f t="shared" si="21"/>
        <v>153.81428571428572</v>
      </c>
      <c r="J76" s="1">
        <f t="shared" si="13"/>
        <v>156.43349999999998</v>
      </c>
      <c r="K76" s="1">
        <f t="shared" si="12"/>
        <v>159.73239999999998</v>
      </c>
      <c r="L76">
        <f t="shared" si="14"/>
        <v>2.7399999999999807</v>
      </c>
      <c r="M76" s="1">
        <f t="shared" si="10"/>
        <v>4.3574999999999999</v>
      </c>
      <c r="N76" s="2">
        <f t="shared" si="15"/>
        <v>8.9570892931537083E-2</v>
      </c>
      <c r="O76">
        <f t="shared" si="8"/>
        <v>2.075259153627132E-2</v>
      </c>
      <c r="P76" s="16">
        <f t="shared" si="11"/>
        <v>11796190.476190476</v>
      </c>
      <c r="Q76">
        <f t="shared" si="17"/>
        <v>153.66</v>
      </c>
      <c r="R76">
        <f t="shared" si="18"/>
        <v>162.84</v>
      </c>
      <c r="S76">
        <f t="shared" si="19"/>
        <v>176.69</v>
      </c>
      <c r="T76">
        <f t="shared" si="20"/>
        <v>23.03</v>
      </c>
    </row>
    <row r="77" spans="1:20" x14ac:dyDescent="0.25">
      <c r="A77" s="7">
        <v>45769</v>
      </c>
      <c r="B77">
        <v>157.75</v>
      </c>
      <c r="C77">
        <v>157.55000000000001</v>
      </c>
      <c r="D77">
        <v>158.72</v>
      </c>
      <c r="E77">
        <v>156.26</v>
      </c>
      <c r="F77">
        <v>7.14</v>
      </c>
      <c r="G77">
        <v>0.53</v>
      </c>
      <c r="H77" s="9">
        <f t="shared" si="16"/>
        <v>7140000</v>
      </c>
      <c r="I77" s="1">
        <f t="shared" si="21"/>
        <v>155.10857142857142</v>
      </c>
      <c r="J77" s="1">
        <f t="shared" si="13"/>
        <v>156.15649999999999</v>
      </c>
      <c r="K77" s="1">
        <f t="shared" si="12"/>
        <v>159.82499999999999</v>
      </c>
      <c r="L77">
        <f t="shared" si="14"/>
        <v>2.460000000000008</v>
      </c>
      <c r="M77" s="1">
        <f t="shared" si="10"/>
        <v>4.386000000000001</v>
      </c>
      <c r="N77" s="2">
        <f t="shared" si="15"/>
        <v>9.533398139147331E-2</v>
      </c>
      <c r="O77">
        <f t="shared" si="8"/>
        <v>2.2035209688889237E-2</v>
      </c>
      <c r="P77" s="16">
        <f t="shared" si="11"/>
        <v>11324285.714285715</v>
      </c>
      <c r="Q77">
        <f t="shared" si="17"/>
        <v>153.66</v>
      </c>
      <c r="R77">
        <f t="shared" si="18"/>
        <v>162.84</v>
      </c>
      <c r="S77">
        <f t="shared" si="19"/>
        <v>176.69</v>
      </c>
      <c r="T77">
        <f t="shared" si="20"/>
        <v>23.03</v>
      </c>
    </row>
    <row r="78" spans="1:20" x14ac:dyDescent="0.25">
      <c r="A78" s="7">
        <v>45770</v>
      </c>
      <c r="B78">
        <v>155.38</v>
      </c>
      <c r="C78">
        <v>156.49</v>
      </c>
      <c r="D78">
        <v>157.1</v>
      </c>
      <c r="E78">
        <v>154.33000000000001</v>
      </c>
      <c r="F78">
        <v>9.1</v>
      </c>
      <c r="G78">
        <v>-1.5</v>
      </c>
      <c r="H78" s="9">
        <f t="shared" si="16"/>
        <v>9100000</v>
      </c>
      <c r="I78" s="1">
        <f t="shared" si="21"/>
        <v>155.62999999999997</v>
      </c>
      <c r="J78" s="1">
        <f t="shared" si="13"/>
        <v>155.87449999999998</v>
      </c>
      <c r="K78" s="1">
        <f t="shared" si="12"/>
        <v>159.84780000000001</v>
      </c>
      <c r="L78">
        <f t="shared" si="14"/>
        <v>2.7699999999999818</v>
      </c>
      <c r="M78" s="1">
        <f t="shared" si="10"/>
        <v>4.3425000000000011</v>
      </c>
      <c r="N78" s="2">
        <f t="shared" si="15"/>
        <v>7.8877933620330465E-2</v>
      </c>
      <c r="O78">
        <f t="shared" si="8"/>
        <v>2.2039832920648705E-2</v>
      </c>
      <c r="P78" s="16">
        <f t="shared" si="11"/>
        <v>11374285.714285715</v>
      </c>
      <c r="Q78">
        <f t="shared" si="17"/>
        <v>153.66</v>
      </c>
      <c r="R78">
        <f t="shared" si="18"/>
        <v>162.84</v>
      </c>
      <c r="S78">
        <f t="shared" si="19"/>
        <v>176.69</v>
      </c>
      <c r="T78">
        <f t="shared" si="20"/>
        <v>23.03</v>
      </c>
    </row>
    <row r="79" spans="1:20" x14ac:dyDescent="0.25">
      <c r="A79" s="7">
        <v>45771</v>
      </c>
      <c r="B79">
        <v>154.93</v>
      </c>
      <c r="C79">
        <v>155.80000000000001</v>
      </c>
      <c r="D79">
        <v>155.9</v>
      </c>
      <c r="E79">
        <v>153.44</v>
      </c>
      <c r="F79">
        <v>8.31</v>
      </c>
      <c r="G79">
        <v>-0.28999999999999998</v>
      </c>
      <c r="H79" s="9">
        <f t="shared" si="16"/>
        <v>8310000.0000000009</v>
      </c>
      <c r="I79" s="1">
        <f t="shared" si="21"/>
        <v>155.71142857142857</v>
      </c>
      <c r="J79" s="1">
        <f t="shared" si="13"/>
        <v>155.535</v>
      </c>
      <c r="K79" s="1">
        <f t="shared" si="12"/>
        <v>159.82380000000001</v>
      </c>
      <c r="L79">
        <f t="shared" si="14"/>
        <v>2.460000000000008</v>
      </c>
      <c r="M79" s="1">
        <f t="shared" si="10"/>
        <v>4.3730000000000002</v>
      </c>
      <c r="N79" s="2">
        <f t="shared" si="15"/>
        <v>7.5753367587835019E-2</v>
      </c>
      <c r="O79">
        <f t="shared" si="8"/>
        <v>1.9040680895757157E-2</v>
      </c>
      <c r="P79" s="16">
        <f t="shared" si="11"/>
        <v>11414761.904761905</v>
      </c>
      <c r="Q79">
        <f t="shared" si="17"/>
        <v>153.66</v>
      </c>
      <c r="R79">
        <f t="shared" si="18"/>
        <v>162.84</v>
      </c>
      <c r="S79">
        <f t="shared" si="19"/>
        <v>176.69</v>
      </c>
      <c r="T79">
        <f t="shared" si="20"/>
        <v>23.03</v>
      </c>
    </row>
    <row r="80" spans="1:20" x14ac:dyDescent="0.25">
      <c r="A80" s="7">
        <v>45772</v>
      </c>
      <c r="B80">
        <v>154.58000000000001</v>
      </c>
      <c r="C80">
        <v>154.32</v>
      </c>
      <c r="D80">
        <v>154.9</v>
      </c>
      <c r="E80">
        <v>152.44999999999999</v>
      </c>
      <c r="F80">
        <v>8.64</v>
      </c>
      <c r="G80">
        <v>-0.23</v>
      </c>
      <c r="H80" s="9">
        <f t="shared" si="16"/>
        <v>8640000</v>
      </c>
      <c r="I80" s="1">
        <f t="shared" si="21"/>
        <v>155.8485714285714</v>
      </c>
      <c r="J80" s="1">
        <f t="shared" si="13"/>
        <v>155.10749999999999</v>
      </c>
      <c r="K80" s="1">
        <f t="shared" si="12"/>
        <v>159.81019999999998</v>
      </c>
      <c r="L80">
        <f t="shared" si="14"/>
        <v>2.4500000000000171</v>
      </c>
      <c r="M80" s="1">
        <f t="shared" si="10"/>
        <v>4.3580000000000014</v>
      </c>
      <c r="N80" s="2">
        <f t="shared" si="15"/>
        <v>7.3323149562560808E-2</v>
      </c>
      <c r="O80">
        <f t="shared" ref="O80:O143" si="22">_xlfn.STDEV.P(N67:N80)</f>
        <v>1.9118076607495354E-2</v>
      </c>
      <c r="P80" s="16">
        <f t="shared" si="11"/>
        <v>11482380.952380951</v>
      </c>
      <c r="Q80">
        <f t="shared" si="17"/>
        <v>153.66</v>
      </c>
      <c r="R80">
        <f t="shared" si="18"/>
        <v>162.84</v>
      </c>
      <c r="S80">
        <f t="shared" si="19"/>
        <v>176.69</v>
      </c>
      <c r="T80">
        <f t="shared" si="20"/>
        <v>23.03</v>
      </c>
    </row>
    <row r="81" spans="1:20" x14ac:dyDescent="0.25">
      <c r="A81" s="7">
        <v>45775</v>
      </c>
      <c r="B81">
        <v>155.35</v>
      </c>
      <c r="C81">
        <v>155.5</v>
      </c>
      <c r="D81">
        <v>155.81</v>
      </c>
      <c r="E81">
        <v>153.82</v>
      </c>
      <c r="F81">
        <v>5.82</v>
      </c>
      <c r="G81">
        <v>0.5</v>
      </c>
      <c r="H81" s="9">
        <f t="shared" si="16"/>
        <v>5820000</v>
      </c>
      <c r="I81" s="1">
        <f t="shared" si="21"/>
        <v>156.05428571428573</v>
      </c>
      <c r="J81" s="1">
        <f t="shared" si="13"/>
        <v>154.68950000000001</v>
      </c>
      <c r="K81" s="1">
        <f t="shared" si="12"/>
        <v>159.7722</v>
      </c>
      <c r="L81">
        <f t="shared" si="14"/>
        <v>1.9900000000000091</v>
      </c>
      <c r="M81" s="1">
        <f t="shared" si="10"/>
        <v>4.3770000000000007</v>
      </c>
      <c r="N81" s="2">
        <f t="shared" si="15"/>
        <v>7.8669629218164117E-2</v>
      </c>
      <c r="O81">
        <f t="shared" si="22"/>
        <v>1.8404595769924377E-2</v>
      </c>
      <c r="P81" s="16">
        <f t="shared" si="11"/>
        <v>11438095.238095239</v>
      </c>
      <c r="Q81">
        <f t="shared" si="17"/>
        <v>153.66</v>
      </c>
      <c r="R81">
        <f t="shared" si="18"/>
        <v>162.84</v>
      </c>
      <c r="S81">
        <f t="shared" si="19"/>
        <v>176.69</v>
      </c>
      <c r="T81">
        <f t="shared" si="20"/>
        <v>23.03</v>
      </c>
    </row>
    <row r="82" spans="1:20" x14ac:dyDescent="0.25">
      <c r="A82" s="7">
        <v>45776</v>
      </c>
      <c r="B82">
        <v>155.91</v>
      </c>
      <c r="C82">
        <v>155.44999999999999</v>
      </c>
      <c r="D82">
        <v>157.02000000000001</v>
      </c>
      <c r="E82">
        <v>154.29</v>
      </c>
      <c r="F82">
        <v>5.25</v>
      </c>
      <c r="G82">
        <v>0.36</v>
      </c>
      <c r="H82" s="9">
        <f t="shared" si="16"/>
        <v>5250000</v>
      </c>
      <c r="I82" s="1">
        <f t="shared" si="21"/>
        <v>155.8314285714286</v>
      </c>
      <c r="J82" s="1">
        <f t="shared" si="13"/>
        <v>154.19299999999998</v>
      </c>
      <c r="K82" s="1">
        <f t="shared" si="12"/>
        <v>159.76740000000001</v>
      </c>
      <c r="L82">
        <f t="shared" si="14"/>
        <v>2.7300000000000182</v>
      </c>
      <c r="M82" s="1">
        <f t="shared" si="10"/>
        <v>4.3935000000000013</v>
      </c>
      <c r="N82" s="2">
        <f t="shared" si="15"/>
        <v>8.2557978058602766E-2</v>
      </c>
      <c r="O82">
        <f t="shared" si="22"/>
        <v>1.6987929886691362E-2</v>
      </c>
      <c r="P82" s="16">
        <f t="shared" si="11"/>
        <v>11413809.523809524</v>
      </c>
      <c r="Q82">
        <f t="shared" si="17"/>
        <v>153.66</v>
      </c>
      <c r="R82">
        <f t="shared" si="18"/>
        <v>162.84</v>
      </c>
      <c r="S82">
        <f t="shared" si="19"/>
        <v>176.69</v>
      </c>
      <c r="T82">
        <f t="shared" si="20"/>
        <v>23.03</v>
      </c>
    </row>
    <row r="83" spans="1:20" x14ac:dyDescent="0.25">
      <c r="A83" s="7">
        <v>45777</v>
      </c>
      <c r="B83">
        <v>156.31</v>
      </c>
      <c r="C83">
        <v>158.19999999999999</v>
      </c>
      <c r="D83">
        <v>158.19999999999999</v>
      </c>
      <c r="E83">
        <v>155.02000000000001</v>
      </c>
      <c r="F83">
        <v>9.6</v>
      </c>
      <c r="G83">
        <v>0.26</v>
      </c>
      <c r="H83" s="9">
        <f t="shared" si="16"/>
        <v>9600000</v>
      </c>
      <c r="I83" s="1">
        <f t="shared" si="21"/>
        <v>155.74428571428572</v>
      </c>
      <c r="J83" s="1">
        <f t="shared" si="13"/>
        <v>154.34599999999998</v>
      </c>
      <c r="K83" s="1">
        <f t="shared" si="12"/>
        <v>159.7938</v>
      </c>
      <c r="L83">
        <f t="shared" si="14"/>
        <v>3.1799999999999784</v>
      </c>
      <c r="M83" s="1">
        <f t="shared" si="10"/>
        <v>4.1185</v>
      </c>
      <c r="N83" s="2">
        <f t="shared" si="15"/>
        <v>8.5335370087487705E-2</v>
      </c>
      <c r="O83">
        <f t="shared" si="22"/>
        <v>1.5928039398174831E-2</v>
      </c>
      <c r="P83" s="16">
        <f t="shared" si="11"/>
        <v>11276666.666666666</v>
      </c>
      <c r="Q83">
        <f t="shared" si="17"/>
        <v>153.66</v>
      </c>
      <c r="R83">
        <f t="shared" si="18"/>
        <v>162.84</v>
      </c>
      <c r="S83">
        <f t="shared" si="19"/>
        <v>176.69</v>
      </c>
      <c r="T83">
        <f t="shared" si="20"/>
        <v>23.03</v>
      </c>
    </row>
    <row r="84" spans="1:20" x14ac:dyDescent="0.25">
      <c r="A84" s="7">
        <v>45778</v>
      </c>
      <c r="B84">
        <v>154.46</v>
      </c>
      <c r="C84">
        <v>155</v>
      </c>
      <c r="D84">
        <v>155.09</v>
      </c>
      <c r="E84">
        <v>153.36000000000001</v>
      </c>
      <c r="F84">
        <v>7.33</v>
      </c>
      <c r="G84">
        <v>-1.18</v>
      </c>
      <c r="H84" s="9">
        <f t="shared" si="16"/>
        <v>7330000</v>
      </c>
      <c r="I84" s="1">
        <f t="shared" si="21"/>
        <v>155.27428571428572</v>
      </c>
      <c r="J84" s="1">
        <f t="shared" si="13"/>
        <v>154.30099999999999</v>
      </c>
      <c r="K84" s="1">
        <f t="shared" ref="K84:K115" si="23">AVERAGE(B35:B84)</f>
        <v>159.7252</v>
      </c>
      <c r="L84">
        <f t="shared" si="14"/>
        <v>1.7299999999999898</v>
      </c>
      <c r="M84" s="1">
        <f t="shared" si="10"/>
        <v>4.0879999999999992</v>
      </c>
      <c r="N84" s="2">
        <f t="shared" si="15"/>
        <v>7.2489931953895193E-2</v>
      </c>
      <c r="O84">
        <f t="shared" si="22"/>
        <v>1.0870763782092716E-2</v>
      </c>
      <c r="P84" s="16">
        <f t="shared" si="11"/>
        <v>10516190.476190476</v>
      </c>
      <c r="Q84">
        <f t="shared" si="17"/>
        <v>153.66</v>
      </c>
      <c r="R84">
        <f t="shared" si="18"/>
        <v>162.84</v>
      </c>
      <c r="S84">
        <f t="shared" si="19"/>
        <v>176.69</v>
      </c>
      <c r="T84">
        <f t="shared" si="20"/>
        <v>23.03</v>
      </c>
    </row>
    <row r="85" spans="1:20" x14ac:dyDescent="0.25">
      <c r="A85" s="7">
        <v>45779</v>
      </c>
      <c r="B85">
        <v>156.12</v>
      </c>
      <c r="C85">
        <v>156.07</v>
      </c>
      <c r="D85">
        <v>156.71</v>
      </c>
      <c r="E85">
        <v>155.04</v>
      </c>
      <c r="F85">
        <v>5.97</v>
      </c>
      <c r="G85">
        <v>1.07</v>
      </c>
      <c r="H85" s="9">
        <f t="shared" si="16"/>
        <v>5970000</v>
      </c>
      <c r="I85" s="1">
        <f t="shared" si="21"/>
        <v>155.37999999999997</v>
      </c>
      <c r="J85" s="1">
        <f t="shared" si="13"/>
        <v>154.11599999999999</v>
      </c>
      <c r="K85" s="1">
        <f t="shared" si="23"/>
        <v>159.65399999999997</v>
      </c>
      <c r="L85">
        <f t="shared" si="14"/>
        <v>1.6700000000000159</v>
      </c>
      <c r="M85" s="1">
        <f t="shared" si="10"/>
        <v>4.0129999999999999</v>
      </c>
      <c r="N85" s="2">
        <f t="shared" si="15"/>
        <v>8.4016108873767426E-2</v>
      </c>
      <c r="O85">
        <f t="shared" si="22"/>
        <v>8.6684221084446615E-3</v>
      </c>
      <c r="P85" s="16">
        <f t="shared" si="11"/>
        <v>10307142.857142856</v>
      </c>
      <c r="Q85">
        <f t="shared" si="17"/>
        <v>153.66</v>
      </c>
      <c r="R85">
        <f t="shared" si="18"/>
        <v>162.84</v>
      </c>
      <c r="S85">
        <f t="shared" si="19"/>
        <v>176.69</v>
      </c>
      <c r="T85">
        <f t="shared" si="20"/>
        <v>23.03</v>
      </c>
    </row>
    <row r="86" spans="1:20" x14ac:dyDescent="0.25">
      <c r="A86" s="7">
        <v>45782</v>
      </c>
      <c r="B86">
        <v>155</v>
      </c>
      <c r="C86">
        <v>156.66999999999999</v>
      </c>
      <c r="D86">
        <v>156.79</v>
      </c>
      <c r="E86">
        <v>154.72999999999999</v>
      </c>
      <c r="F86">
        <v>5.46</v>
      </c>
      <c r="G86">
        <v>-0.72</v>
      </c>
      <c r="H86" s="9">
        <f t="shared" si="16"/>
        <v>5460000</v>
      </c>
      <c r="I86" s="1">
        <f t="shared" si="21"/>
        <v>155.39000000000001</v>
      </c>
      <c r="J86" s="1">
        <f t="shared" ref="J86:J117" si="24">AVERAGE(B67:B86)</f>
        <v>154.20400000000001</v>
      </c>
      <c r="K86" s="1">
        <f t="shared" si="23"/>
        <v>159.50799999999998</v>
      </c>
      <c r="L86">
        <f t="shared" si="14"/>
        <v>2.0600000000000023</v>
      </c>
      <c r="M86" s="1">
        <f t="shared" si="10"/>
        <v>3.7715000000000005</v>
      </c>
      <c r="N86" s="2">
        <f t="shared" si="15"/>
        <v>7.6239411192889905E-2</v>
      </c>
      <c r="O86">
        <f t="shared" si="22"/>
        <v>8.4501025362370558E-3</v>
      </c>
      <c r="P86" s="16">
        <f t="shared" si="11"/>
        <v>9936190.4761904757</v>
      </c>
      <c r="Q86">
        <f t="shared" si="17"/>
        <v>153.66</v>
      </c>
      <c r="R86">
        <f t="shared" si="18"/>
        <v>162.84</v>
      </c>
      <c r="S86">
        <f t="shared" si="19"/>
        <v>176.69</v>
      </c>
      <c r="T86">
        <f t="shared" si="20"/>
        <v>23.03</v>
      </c>
    </row>
    <row r="87" spans="1:20" x14ac:dyDescent="0.25">
      <c r="A87" s="7">
        <v>45783</v>
      </c>
      <c r="B87">
        <v>154.47</v>
      </c>
      <c r="C87">
        <v>154.82</v>
      </c>
      <c r="D87">
        <v>155.9</v>
      </c>
      <c r="E87">
        <v>153.68</v>
      </c>
      <c r="F87">
        <v>8.64</v>
      </c>
      <c r="G87">
        <v>-0.34</v>
      </c>
      <c r="H87" s="9">
        <f t="shared" si="16"/>
        <v>8640000</v>
      </c>
      <c r="I87" s="1">
        <f t="shared" si="21"/>
        <v>155.37428571428569</v>
      </c>
      <c r="J87" s="1">
        <f t="shared" si="24"/>
        <v>154.3965</v>
      </c>
      <c r="K87" s="1">
        <f t="shared" si="23"/>
        <v>159.32259999999999</v>
      </c>
      <c r="L87">
        <f t="shared" si="14"/>
        <v>2.2199999999999989</v>
      </c>
      <c r="M87" s="1">
        <f t="shared" ref="M87:M150" si="25">AVERAGE(L68:L87)</f>
        <v>3.617</v>
      </c>
      <c r="N87" s="2">
        <f t="shared" si="15"/>
        <v>7.2559366754617383E-2</v>
      </c>
      <c r="O87">
        <f t="shared" si="22"/>
        <v>7.9001015008342227E-3</v>
      </c>
      <c r="P87" s="16">
        <f t="shared" ref="P87:P150" si="26">AVERAGE(H67:H87)</f>
        <v>9557142.8571428563</v>
      </c>
      <c r="Q87">
        <f t="shared" si="17"/>
        <v>153.66</v>
      </c>
      <c r="R87">
        <f t="shared" si="18"/>
        <v>162.84</v>
      </c>
      <c r="S87">
        <f t="shared" si="19"/>
        <v>176.69</v>
      </c>
      <c r="T87">
        <f t="shared" si="20"/>
        <v>23.03</v>
      </c>
    </row>
    <row r="88" spans="1:20" x14ac:dyDescent="0.25">
      <c r="A88" s="7">
        <v>45784</v>
      </c>
      <c r="B88">
        <v>157.30000000000001</v>
      </c>
      <c r="C88">
        <v>154.74</v>
      </c>
      <c r="D88">
        <v>157.94</v>
      </c>
      <c r="E88">
        <v>154.5</v>
      </c>
      <c r="F88">
        <v>7.85</v>
      </c>
      <c r="G88">
        <v>1.83</v>
      </c>
      <c r="H88" s="9">
        <f t="shared" si="16"/>
        <v>7850000</v>
      </c>
      <c r="I88" s="1">
        <f t="shared" si="21"/>
        <v>155.65285714285716</v>
      </c>
      <c r="J88" s="1">
        <f t="shared" si="24"/>
        <v>154.76150000000001</v>
      </c>
      <c r="K88" s="1">
        <f t="shared" si="23"/>
        <v>159.14680000000001</v>
      </c>
      <c r="L88">
        <f t="shared" si="14"/>
        <v>3.4399999999999977</v>
      </c>
      <c r="M88" s="1">
        <f t="shared" si="25"/>
        <v>3.5095000000000001</v>
      </c>
      <c r="N88" s="2">
        <f t="shared" si="15"/>
        <v>9.2209415358977864E-2</v>
      </c>
      <c r="O88">
        <f t="shared" si="22"/>
        <v>7.7093897375833274E-3</v>
      </c>
      <c r="P88" s="16">
        <f t="shared" si="26"/>
        <v>9070000</v>
      </c>
      <c r="Q88">
        <f t="shared" si="17"/>
        <v>153.66</v>
      </c>
      <c r="R88">
        <f t="shared" si="18"/>
        <v>162.84</v>
      </c>
      <c r="S88">
        <f t="shared" si="19"/>
        <v>176.69</v>
      </c>
      <c r="T88">
        <f t="shared" si="20"/>
        <v>23.03</v>
      </c>
    </row>
    <row r="89" spans="1:20" x14ac:dyDescent="0.25">
      <c r="A89" s="7">
        <v>45785</v>
      </c>
      <c r="B89">
        <v>155.66</v>
      </c>
      <c r="C89">
        <v>155.82</v>
      </c>
      <c r="D89">
        <v>157.03</v>
      </c>
      <c r="E89">
        <v>154.78</v>
      </c>
      <c r="F89">
        <v>7.61</v>
      </c>
      <c r="G89">
        <v>-1.04</v>
      </c>
      <c r="H89" s="9">
        <f t="shared" si="16"/>
        <v>7610000</v>
      </c>
      <c r="I89" s="1">
        <f t="shared" si="21"/>
        <v>155.61714285714288</v>
      </c>
      <c r="J89" s="1">
        <f t="shared" si="24"/>
        <v>154.99599999999998</v>
      </c>
      <c r="K89" s="1">
        <f t="shared" si="23"/>
        <v>158.9984</v>
      </c>
      <c r="L89">
        <f t="shared" si="14"/>
        <v>2.25</v>
      </c>
      <c r="M89" s="1">
        <f t="shared" si="25"/>
        <v>3.0375000000000001</v>
      </c>
      <c r="N89" s="2">
        <f t="shared" si="15"/>
        <v>8.0822108040549789E-2</v>
      </c>
      <c r="O89">
        <f t="shared" si="22"/>
        <v>7.0540775413588143E-3</v>
      </c>
      <c r="P89" s="16">
        <f t="shared" si="26"/>
        <v>8860000</v>
      </c>
      <c r="Q89">
        <f t="shared" si="17"/>
        <v>153.66</v>
      </c>
      <c r="R89">
        <f t="shared" si="18"/>
        <v>162.84</v>
      </c>
      <c r="S89">
        <f t="shared" si="19"/>
        <v>176.69</v>
      </c>
      <c r="T89">
        <f t="shared" si="20"/>
        <v>23.03</v>
      </c>
    </row>
    <row r="90" spans="1:20" x14ac:dyDescent="0.25">
      <c r="A90" s="7">
        <v>45786</v>
      </c>
      <c r="B90">
        <v>154.22</v>
      </c>
      <c r="C90">
        <v>155.41999999999999</v>
      </c>
      <c r="D90">
        <v>156.06</v>
      </c>
      <c r="E90">
        <v>153.81</v>
      </c>
      <c r="F90">
        <v>6.52</v>
      </c>
      <c r="G90">
        <v>-0.93</v>
      </c>
      <c r="H90" s="9">
        <f t="shared" si="16"/>
        <v>6520000</v>
      </c>
      <c r="I90" s="1">
        <f t="shared" si="21"/>
        <v>155.31857142857143</v>
      </c>
      <c r="J90" s="1">
        <f t="shared" si="24"/>
        <v>155.27249999999998</v>
      </c>
      <c r="K90" s="1">
        <f t="shared" si="23"/>
        <v>158.80820000000003</v>
      </c>
      <c r="L90">
        <f t="shared" si="14"/>
        <v>2.25</v>
      </c>
      <c r="M90" s="1">
        <f t="shared" si="25"/>
        <v>2.8465000000000003</v>
      </c>
      <c r="N90" s="2">
        <f t="shared" si="15"/>
        <v>7.0823496736564184E-2</v>
      </c>
      <c r="O90">
        <f t="shared" si="22"/>
        <v>7.1299314729359178E-3</v>
      </c>
      <c r="P90" s="16">
        <f t="shared" si="26"/>
        <v>8276666.666666667</v>
      </c>
      <c r="Q90">
        <f t="shared" si="17"/>
        <v>153.66</v>
      </c>
      <c r="R90">
        <f t="shared" si="18"/>
        <v>162.84</v>
      </c>
      <c r="S90">
        <f t="shared" si="19"/>
        <v>176.69</v>
      </c>
      <c r="T90">
        <f t="shared" si="20"/>
        <v>23.03</v>
      </c>
    </row>
    <row r="91" spans="1:20" x14ac:dyDescent="0.25">
      <c r="A91" s="7">
        <v>45789</v>
      </c>
      <c r="B91">
        <v>154.13999999999999</v>
      </c>
      <c r="C91">
        <v>152.02000000000001</v>
      </c>
      <c r="D91">
        <v>155.36000000000001</v>
      </c>
      <c r="E91">
        <v>151.18</v>
      </c>
      <c r="F91">
        <v>9.02</v>
      </c>
      <c r="G91">
        <v>-0.05</v>
      </c>
      <c r="H91" s="9">
        <f t="shared" si="16"/>
        <v>9020000</v>
      </c>
      <c r="I91" s="1">
        <f t="shared" si="21"/>
        <v>155.27285714285716</v>
      </c>
      <c r="J91" s="1">
        <f t="shared" si="24"/>
        <v>155.39299999999997</v>
      </c>
      <c r="K91" s="1">
        <f t="shared" si="23"/>
        <v>158.59060000000002</v>
      </c>
      <c r="L91">
        <f t="shared" si="14"/>
        <v>4.1800000000000068</v>
      </c>
      <c r="M91" s="1">
        <f t="shared" si="25"/>
        <v>2.847500000000001</v>
      </c>
      <c r="N91" s="2">
        <f t="shared" si="15"/>
        <v>7.026801833078733E-2</v>
      </c>
      <c r="O91">
        <f t="shared" si="22"/>
        <v>6.1112547112728384E-3</v>
      </c>
      <c r="P91" s="16">
        <f t="shared" si="26"/>
        <v>8047619.0476190476</v>
      </c>
      <c r="Q91">
        <f t="shared" si="17"/>
        <v>153.66</v>
      </c>
      <c r="R91">
        <f t="shared" si="18"/>
        <v>162.84</v>
      </c>
      <c r="S91">
        <f t="shared" si="19"/>
        <v>176.69</v>
      </c>
      <c r="T91">
        <f t="shared" si="20"/>
        <v>23.03</v>
      </c>
    </row>
    <row r="92" spans="1:20" x14ac:dyDescent="0.25">
      <c r="A92" s="7">
        <v>45790</v>
      </c>
      <c r="B92">
        <v>148.44</v>
      </c>
      <c r="C92">
        <v>151.69999999999999</v>
      </c>
      <c r="D92">
        <v>151.69999999999999</v>
      </c>
      <c r="E92">
        <v>148.08000000000001</v>
      </c>
      <c r="F92">
        <v>10.55</v>
      </c>
      <c r="G92">
        <v>-3.7</v>
      </c>
      <c r="H92" s="9">
        <f t="shared" si="16"/>
        <v>10550000</v>
      </c>
      <c r="I92" s="1">
        <f t="shared" si="21"/>
        <v>154.17571428571429</v>
      </c>
      <c r="J92" s="1">
        <f t="shared" si="24"/>
        <v>155.09699999999998</v>
      </c>
      <c r="K92" s="1">
        <f t="shared" si="23"/>
        <v>158.21380000000002</v>
      </c>
      <c r="L92">
        <f t="shared" si="14"/>
        <v>3.6199999999999761</v>
      </c>
      <c r="M92" s="1">
        <f t="shared" si="25"/>
        <v>2.8534999999999995</v>
      </c>
      <c r="N92" s="2">
        <f t="shared" si="15"/>
        <v>3.0690181919177828E-2</v>
      </c>
      <c r="O92">
        <f t="shared" si="22"/>
        <v>1.3648239253948076E-2</v>
      </c>
      <c r="P92" s="16">
        <f t="shared" si="26"/>
        <v>8076666.666666667</v>
      </c>
      <c r="Q92">
        <f t="shared" si="17"/>
        <v>153.66</v>
      </c>
      <c r="R92">
        <f t="shared" si="18"/>
        <v>162.84</v>
      </c>
      <c r="S92">
        <f t="shared" si="19"/>
        <v>176.69</v>
      </c>
      <c r="T92">
        <f t="shared" si="20"/>
        <v>23.03</v>
      </c>
    </row>
    <row r="93" spans="1:20" x14ac:dyDescent="0.25">
      <c r="A93" s="7">
        <v>45791</v>
      </c>
      <c r="B93">
        <v>146.36000000000001</v>
      </c>
      <c r="C93">
        <v>148.66</v>
      </c>
      <c r="D93">
        <v>148.82</v>
      </c>
      <c r="E93">
        <v>146.12</v>
      </c>
      <c r="F93">
        <v>10.220000000000001</v>
      </c>
      <c r="G93">
        <v>-1.4</v>
      </c>
      <c r="H93" s="9">
        <f t="shared" si="16"/>
        <v>10220000</v>
      </c>
      <c r="I93" s="1">
        <f t="shared" si="21"/>
        <v>152.94142857142859</v>
      </c>
      <c r="J93" s="1">
        <f t="shared" si="24"/>
        <v>154.73399999999998</v>
      </c>
      <c r="K93" s="1">
        <f t="shared" si="23"/>
        <v>157.83260000000001</v>
      </c>
      <c r="L93">
        <f t="shared" si="14"/>
        <v>2.6999999999999886</v>
      </c>
      <c r="M93" s="1">
        <f t="shared" si="25"/>
        <v>2.7784999999999984</v>
      </c>
      <c r="N93" s="2">
        <f t="shared" si="15"/>
        <v>1.6247743368976497E-2</v>
      </c>
      <c r="O93">
        <f t="shared" si="22"/>
        <v>2.0301504170612106E-2</v>
      </c>
      <c r="P93" s="16">
        <f t="shared" si="26"/>
        <v>8054285.7142857146</v>
      </c>
      <c r="Q93">
        <f t="shared" si="17"/>
        <v>153.66</v>
      </c>
      <c r="R93">
        <f t="shared" si="18"/>
        <v>162.84</v>
      </c>
      <c r="S93">
        <f t="shared" si="19"/>
        <v>176.69</v>
      </c>
      <c r="T93">
        <f t="shared" si="20"/>
        <v>23.03</v>
      </c>
    </row>
    <row r="94" spans="1:20" x14ac:dyDescent="0.25">
      <c r="A94" s="7">
        <v>45792</v>
      </c>
      <c r="B94">
        <v>149.61000000000001</v>
      </c>
      <c r="C94">
        <v>148</v>
      </c>
      <c r="D94">
        <v>149.65</v>
      </c>
      <c r="E94">
        <v>147.33000000000001</v>
      </c>
      <c r="F94">
        <v>7.95</v>
      </c>
      <c r="G94">
        <v>2.2200000000000002</v>
      </c>
      <c r="H94" s="9">
        <f t="shared" si="16"/>
        <v>7950000</v>
      </c>
      <c r="I94" s="1">
        <f t="shared" si="21"/>
        <v>152.24714285714285</v>
      </c>
      <c r="J94" s="1">
        <f t="shared" si="24"/>
        <v>154.51900000000001</v>
      </c>
      <c r="K94" s="1">
        <f t="shared" si="23"/>
        <v>157.5224</v>
      </c>
      <c r="L94">
        <f t="shared" si="14"/>
        <v>2.3199999999999932</v>
      </c>
      <c r="M94" s="1">
        <f t="shared" si="25"/>
        <v>2.7249999999999988</v>
      </c>
      <c r="N94" s="2">
        <f t="shared" si="15"/>
        <v>3.8814053603666077E-2</v>
      </c>
      <c r="O94">
        <f t="shared" si="22"/>
        <v>2.1839337615760523E-2</v>
      </c>
      <c r="P94" s="16">
        <f t="shared" si="26"/>
        <v>7916190.4761904757</v>
      </c>
      <c r="Q94">
        <f t="shared" si="17"/>
        <v>153.66</v>
      </c>
      <c r="R94">
        <f t="shared" si="18"/>
        <v>162.84</v>
      </c>
      <c r="S94">
        <f t="shared" si="19"/>
        <v>176.69</v>
      </c>
      <c r="T94">
        <f t="shared" si="20"/>
        <v>23.03</v>
      </c>
    </row>
    <row r="95" spans="1:20" x14ac:dyDescent="0.25">
      <c r="A95" s="7">
        <v>45793</v>
      </c>
      <c r="B95">
        <v>151.33000000000001</v>
      </c>
      <c r="C95">
        <v>149.66999999999999</v>
      </c>
      <c r="D95">
        <v>151.5</v>
      </c>
      <c r="E95">
        <v>149.22</v>
      </c>
      <c r="F95">
        <v>8.0500000000000007</v>
      </c>
      <c r="G95">
        <v>1.1499999999999999</v>
      </c>
      <c r="H95" s="9">
        <f t="shared" si="16"/>
        <v>8050000.0000000009</v>
      </c>
      <c r="I95" s="1">
        <f t="shared" si="21"/>
        <v>151.3942857142857</v>
      </c>
      <c r="J95" s="1">
        <f t="shared" si="24"/>
        <v>154.21199999999999</v>
      </c>
      <c r="K95" s="1">
        <f t="shared" si="23"/>
        <v>157.23239999999998</v>
      </c>
      <c r="L95">
        <f t="shared" si="14"/>
        <v>2.2800000000000011</v>
      </c>
      <c r="M95" s="1">
        <f t="shared" si="25"/>
        <v>2.5749999999999984</v>
      </c>
      <c r="N95" s="2">
        <f t="shared" si="15"/>
        <v>5.0756839327871228E-2</v>
      </c>
      <c r="O95">
        <f t="shared" si="22"/>
        <v>2.2045734447472341E-2</v>
      </c>
      <c r="P95" s="16">
        <f t="shared" si="26"/>
        <v>7919047.6190476194</v>
      </c>
      <c r="Q95">
        <f t="shared" si="17"/>
        <v>153.66</v>
      </c>
      <c r="R95">
        <f t="shared" si="18"/>
        <v>162.84</v>
      </c>
      <c r="S95">
        <f t="shared" si="19"/>
        <v>176.69</v>
      </c>
      <c r="T95">
        <f t="shared" si="20"/>
        <v>23.03</v>
      </c>
    </row>
    <row r="96" spans="1:20" x14ac:dyDescent="0.25">
      <c r="A96" s="7">
        <v>45796</v>
      </c>
      <c r="B96">
        <v>152.49</v>
      </c>
      <c r="C96">
        <v>151.88999999999999</v>
      </c>
      <c r="D96">
        <v>152.66</v>
      </c>
      <c r="E96">
        <v>151.05000000000001</v>
      </c>
      <c r="F96">
        <v>12.64</v>
      </c>
      <c r="G96">
        <v>0.77</v>
      </c>
      <c r="H96" s="9">
        <f t="shared" si="16"/>
        <v>12640000</v>
      </c>
      <c r="I96" s="1">
        <f t="shared" si="21"/>
        <v>150.94142857142859</v>
      </c>
      <c r="J96" s="1">
        <f t="shared" si="24"/>
        <v>153.99050000000003</v>
      </c>
      <c r="K96" s="1">
        <f t="shared" si="23"/>
        <v>156.94840000000002</v>
      </c>
      <c r="L96">
        <f t="shared" si="14"/>
        <v>1.6099999999999852</v>
      </c>
      <c r="M96" s="1">
        <f t="shared" si="25"/>
        <v>2.5184999999999986</v>
      </c>
      <c r="N96" s="2">
        <f t="shared" si="15"/>
        <v>5.8811276211637287E-2</v>
      </c>
      <c r="O96">
        <f t="shared" si="22"/>
        <v>2.1614904249811075E-2</v>
      </c>
      <c r="P96" s="16">
        <f t="shared" si="26"/>
        <v>7998095.2380952379</v>
      </c>
      <c r="Q96">
        <f t="shared" si="17"/>
        <v>153.66</v>
      </c>
      <c r="R96">
        <f t="shared" si="18"/>
        <v>162.84</v>
      </c>
      <c r="S96">
        <f t="shared" si="19"/>
        <v>176.69</v>
      </c>
      <c r="T96">
        <f t="shared" si="20"/>
        <v>23.03</v>
      </c>
    </row>
    <row r="97" spans="1:20" x14ac:dyDescent="0.25">
      <c r="A97" s="7">
        <v>45797</v>
      </c>
      <c r="B97">
        <v>153.66</v>
      </c>
      <c r="C97">
        <v>152.33000000000001</v>
      </c>
      <c r="D97">
        <v>154.04</v>
      </c>
      <c r="E97">
        <v>152.12</v>
      </c>
      <c r="F97">
        <v>7.35</v>
      </c>
      <c r="G97">
        <v>0.77</v>
      </c>
      <c r="H97" s="9">
        <f t="shared" si="16"/>
        <v>7350000</v>
      </c>
      <c r="I97" s="1">
        <f t="shared" si="21"/>
        <v>150.86142857142858</v>
      </c>
      <c r="J97" s="1">
        <f t="shared" si="24"/>
        <v>153.786</v>
      </c>
      <c r="K97" s="1">
        <f t="shared" si="23"/>
        <v>156.66760000000002</v>
      </c>
      <c r="L97">
        <f t="shared" si="14"/>
        <v>1.9199999999999875</v>
      </c>
      <c r="M97" s="1">
        <f t="shared" si="25"/>
        <v>2.4914999999999976</v>
      </c>
      <c r="N97" s="2">
        <f t="shared" si="15"/>
        <v>6.6935147896125535E-2</v>
      </c>
      <c r="O97">
        <f t="shared" si="22"/>
        <v>2.084093545325498E-2</v>
      </c>
      <c r="P97" s="16">
        <f t="shared" si="26"/>
        <v>8048571.4285714282</v>
      </c>
      <c r="Q97">
        <f t="shared" si="17"/>
        <v>153.66</v>
      </c>
      <c r="R97">
        <f t="shared" si="18"/>
        <v>162.84</v>
      </c>
      <c r="S97">
        <f t="shared" si="19"/>
        <v>176.69</v>
      </c>
      <c r="T97">
        <f t="shared" si="20"/>
        <v>23.03</v>
      </c>
    </row>
    <row r="98" spans="1:20" x14ac:dyDescent="0.25">
      <c r="A98" s="7">
        <v>45798</v>
      </c>
      <c r="B98">
        <v>153.18</v>
      </c>
      <c r="C98">
        <v>153.19</v>
      </c>
      <c r="D98">
        <v>154.43</v>
      </c>
      <c r="E98">
        <v>153</v>
      </c>
      <c r="F98">
        <v>7.03</v>
      </c>
      <c r="G98">
        <v>-0.31</v>
      </c>
      <c r="H98" s="9">
        <f t="shared" si="16"/>
        <v>7030000</v>
      </c>
      <c r="I98" s="1">
        <f t="shared" si="21"/>
        <v>150.72428571428571</v>
      </c>
      <c r="J98" s="1">
        <f t="shared" si="24"/>
        <v>153.67599999999999</v>
      </c>
      <c r="K98" s="1">
        <f t="shared" si="23"/>
        <v>156.41400000000002</v>
      </c>
      <c r="L98">
        <f t="shared" si="14"/>
        <v>1.4300000000000068</v>
      </c>
      <c r="M98" s="1">
        <f t="shared" si="25"/>
        <v>2.4244999999999992</v>
      </c>
      <c r="N98" s="2">
        <f t="shared" si="15"/>
        <v>6.3602277461463741E-2</v>
      </c>
      <c r="O98">
        <f t="shared" si="22"/>
        <v>2.0676217650488025E-2</v>
      </c>
      <c r="P98" s="16">
        <f t="shared" si="26"/>
        <v>8043333.333333333</v>
      </c>
      <c r="Q98">
        <f t="shared" si="17"/>
        <v>153.66</v>
      </c>
      <c r="R98">
        <f t="shared" si="18"/>
        <v>162.84</v>
      </c>
      <c r="S98">
        <f t="shared" si="19"/>
        <v>176.69</v>
      </c>
      <c r="T98">
        <f t="shared" si="20"/>
        <v>23.03</v>
      </c>
    </row>
    <row r="99" spans="1:20" x14ac:dyDescent="0.25">
      <c r="A99" s="7">
        <v>45799</v>
      </c>
      <c r="B99">
        <v>152.61000000000001</v>
      </c>
      <c r="C99">
        <v>152.65</v>
      </c>
      <c r="D99">
        <v>153.32</v>
      </c>
      <c r="E99">
        <v>151.37</v>
      </c>
      <c r="F99">
        <v>7.54</v>
      </c>
      <c r="G99">
        <v>-0.37</v>
      </c>
      <c r="H99" s="9">
        <f t="shared" si="16"/>
        <v>7540000</v>
      </c>
      <c r="I99" s="1">
        <f t="shared" si="21"/>
        <v>151.32000000000002</v>
      </c>
      <c r="J99" s="1">
        <f t="shared" si="24"/>
        <v>153.56</v>
      </c>
      <c r="K99" s="1">
        <f t="shared" si="23"/>
        <v>156.20920000000001</v>
      </c>
      <c r="L99">
        <f t="shared" si="14"/>
        <v>1.9499999999999886</v>
      </c>
      <c r="M99" s="1">
        <f t="shared" si="25"/>
        <v>2.3989999999999982</v>
      </c>
      <c r="N99" s="2">
        <f t="shared" si="15"/>
        <v>5.964449382030268E-2</v>
      </c>
      <c r="O99">
        <f t="shared" si="22"/>
        <v>1.9784900996073176E-2</v>
      </c>
      <c r="P99" s="16">
        <f t="shared" si="26"/>
        <v>7969047.6190476194</v>
      </c>
      <c r="Q99">
        <f t="shared" si="17"/>
        <v>153.66</v>
      </c>
      <c r="R99">
        <f t="shared" si="18"/>
        <v>162.84</v>
      </c>
      <c r="S99">
        <f t="shared" si="19"/>
        <v>176.69</v>
      </c>
      <c r="T99">
        <f t="shared" si="20"/>
        <v>23.03</v>
      </c>
    </row>
    <row r="100" spans="1:20" x14ac:dyDescent="0.25">
      <c r="A100" s="7">
        <v>45800</v>
      </c>
      <c r="B100">
        <v>152.94</v>
      </c>
      <c r="C100">
        <v>153</v>
      </c>
      <c r="D100">
        <v>153.47999999999999</v>
      </c>
      <c r="E100">
        <v>152.21</v>
      </c>
      <c r="F100">
        <v>6.73</v>
      </c>
      <c r="G100">
        <v>0.22</v>
      </c>
      <c r="H100" s="9">
        <f t="shared" si="16"/>
        <v>6730000</v>
      </c>
      <c r="I100" s="1">
        <f t="shared" si="21"/>
        <v>152.26</v>
      </c>
      <c r="J100" s="1">
        <f t="shared" si="24"/>
        <v>153.47800000000001</v>
      </c>
      <c r="K100" s="1">
        <f t="shared" si="23"/>
        <v>156.00819999999999</v>
      </c>
      <c r="L100">
        <f t="shared" si="14"/>
        <v>1.2699999999999818</v>
      </c>
      <c r="M100" s="1">
        <f t="shared" si="25"/>
        <v>2.3399999999999963</v>
      </c>
      <c r="N100" s="2">
        <f t="shared" si="15"/>
        <v>6.1935842244132733E-2</v>
      </c>
      <c r="O100">
        <f t="shared" si="22"/>
        <v>1.9314725265478398E-2</v>
      </c>
      <c r="P100" s="16">
        <f t="shared" si="26"/>
        <v>7893809.5238095243</v>
      </c>
      <c r="Q100">
        <f t="shared" si="17"/>
        <v>153.66</v>
      </c>
      <c r="R100">
        <f t="shared" si="18"/>
        <v>162.84</v>
      </c>
      <c r="S100">
        <f t="shared" si="19"/>
        <v>176.69</v>
      </c>
      <c r="T100">
        <f t="shared" si="20"/>
        <v>23.03</v>
      </c>
    </row>
    <row r="101" spans="1:20" x14ac:dyDescent="0.25">
      <c r="A101" s="7">
        <v>45804</v>
      </c>
      <c r="B101">
        <v>153.25</v>
      </c>
      <c r="C101">
        <v>152.52000000000001</v>
      </c>
      <c r="D101">
        <v>154.04</v>
      </c>
      <c r="E101">
        <v>151.93</v>
      </c>
      <c r="F101">
        <v>6.99</v>
      </c>
      <c r="G101">
        <v>0.2</v>
      </c>
      <c r="H101" s="9">
        <f t="shared" si="16"/>
        <v>6990000</v>
      </c>
      <c r="I101" s="1">
        <f t="shared" si="21"/>
        <v>152.78</v>
      </c>
      <c r="J101" s="1">
        <f t="shared" si="24"/>
        <v>153.37300000000002</v>
      </c>
      <c r="K101" s="1">
        <f t="shared" si="23"/>
        <v>155.81699999999998</v>
      </c>
      <c r="L101">
        <f t="shared" si="14"/>
        <v>2.1099999999999852</v>
      </c>
      <c r="M101" s="1">
        <f t="shared" si="25"/>
        <v>2.3459999999999952</v>
      </c>
      <c r="N101" s="2">
        <f t="shared" si="15"/>
        <v>6.4088321066518406E-2</v>
      </c>
      <c r="O101">
        <f t="shared" si="22"/>
        <v>1.9029218637212218E-2</v>
      </c>
      <c r="P101" s="16">
        <f t="shared" si="26"/>
        <v>7815238.0952380951</v>
      </c>
      <c r="Q101">
        <f t="shared" si="17"/>
        <v>153.66</v>
      </c>
      <c r="R101">
        <f t="shared" si="18"/>
        <v>162.84</v>
      </c>
      <c r="S101">
        <f t="shared" si="19"/>
        <v>176.69</v>
      </c>
      <c r="T101">
        <f t="shared" si="20"/>
        <v>23.03</v>
      </c>
    </row>
    <row r="102" spans="1:20" x14ac:dyDescent="0.25">
      <c r="A102" s="7">
        <v>45805</v>
      </c>
      <c r="B102">
        <v>152.43</v>
      </c>
      <c r="C102">
        <v>153.28</v>
      </c>
      <c r="D102">
        <v>153.63999999999999</v>
      </c>
      <c r="E102">
        <v>151.93</v>
      </c>
      <c r="F102">
        <v>8.4600000000000009</v>
      </c>
      <c r="G102">
        <v>-0.54</v>
      </c>
      <c r="H102" s="9">
        <f t="shared" si="16"/>
        <v>8460000</v>
      </c>
      <c r="I102" s="1">
        <f t="shared" si="21"/>
        <v>152.93714285714287</v>
      </c>
      <c r="J102" s="1">
        <f t="shared" si="24"/>
        <v>153.19900000000001</v>
      </c>
      <c r="K102" s="1">
        <f t="shared" si="23"/>
        <v>155.60879999999997</v>
      </c>
      <c r="L102">
        <f t="shared" si="14"/>
        <v>1.7099999999999795</v>
      </c>
      <c r="M102" s="1">
        <f t="shared" si="25"/>
        <v>2.2949999999999933</v>
      </c>
      <c r="N102" s="2">
        <f t="shared" si="15"/>
        <v>5.839466740730459E-2</v>
      </c>
      <c r="O102">
        <f t="shared" si="22"/>
        <v>1.6655519922479677E-2</v>
      </c>
      <c r="P102" s="16">
        <f t="shared" si="26"/>
        <v>7940952.3809523806</v>
      </c>
      <c r="Q102">
        <f t="shared" si="17"/>
        <v>153.66</v>
      </c>
      <c r="R102">
        <f t="shared" si="18"/>
        <v>162.84</v>
      </c>
      <c r="S102">
        <f t="shared" si="19"/>
        <v>176.69</v>
      </c>
      <c r="T102">
        <f t="shared" si="20"/>
        <v>23.03</v>
      </c>
    </row>
    <row r="103" spans="1:20" x14ac:dyDescent="0.25">
      <c r="A103" s="7">
        <v>45806</v>
      </c>
      <c r="B103">
        <v>153.58000000000001</v>
      </c>
      <c r="C103">
        <v>151.75</v>
      </c>
      <c r="D103">
        <v>154.04</v>
      </c>
      <c r="E103">
        <v>151.56</v>
      </c>
      <c r="F103">
        <v>6.81</v>
      </c>
      <c r="G103">
        <v>0.75</v>
      </c>
      <c r="H103" s="9">
        <f t="shared" si="16"/>
        <v>6810000</v>
      </c>
      <c r="I103" s="1">
        <f t="shared" si="21"/>
        <v>153.09285714285716</v>
      </c>
      <c r="J103" s="1">
        <f t="shared" si="24"/>
        <v>153.0625</v>
      </c>
      <c r="K103" s="1">
        <f t="shared" si="23"/>
        <v>155.3954</v>
      </c>
      <c r="L103">
        <f t="shared" si="14"/>
        <v>2.4799999999999898</v>
      </c>
      <c r="M103" s="1">
        <f t="shared" si="25"/>
        <v>2.2599999999999936</v>
      </c>
      <c r="N103" s="2">
        <f t="shared" si="15"/>
        <v>6.6379669490348681E-2</v>
      </c>
      <c r="O103">
        <f t="shared" si="22"/>
        <v>1.5530050507154378E-2</v>
      </c>
      <c r="P103" s="16">
        <f t="shared" si="26"/>
        <v>8015238.0952380951</v>
      </c>
      <c r="Q103">
        <f t="shared" si="17"/>
        <v>153.66</v>
      </c>
      <c r="R103">
        <f t="shared" si="18"/>
        <v>162.84</v>
      </c>
      <c r="S103">
        <f t="shared" si="19"/>
        <v>176.69</v>
      </c>
      <c r="T103">
        <f t="shared" si="20"/>
        <v>23.03</v>
      </c>
    </row>
    <row r="104" spans="1:20" x14ac:dyDescent="0.25">
      <c r="A104" s="7">
        <v>45807</v>
      </c>
      <c r="B104">
        <v>155.21</v>
      </c>
      <c r="C104">
        <v>153.9</v>
      </c>
      <c r="D104">
        <v>155.71</v>
      </c>
      <c r="E104">
        <v>153.22</v>
      </c>
      <c r="F104">
        <v>15.53</v>
      </c>
      <c r="G104">
        <v>1.06</v>
      </c>
      <c r="H104" s="9">
        <f t="shared" si="16"/>
        <v>15530000</v>
      </c>
      <c r="I104" s="1">
        <f t="shared" si="21"/>
        <v>153.31428571428572</v>
      </c>
      <c r="J104" s="1">
        <f t="shared" si="24"/>
        <v>153.1</v>
      </c>
      <c r="K104" s="1">
        <f t="shared" si="23"/>
        <v>155.23979999999997</v>
      </c>
      <c r="L104">
        <f t="shared" si="14"/>
        <v>2.4900000000000091</v>
      </c>
      <c r="M104" s="1">
        <f t="shared" si="25"/>
        <v>2.2979999999999947</v>
      </c>
      <c r="N104" s="2">
        <f t="shared" si="15"/>
        <v>7.7697542008054343E-2</v>
      </c>
      <c r="O104">
        <f t="shared" si="22"/>
        <v>1.6103938578083208E-2</v>
      </c>
      <c r="P104" s="16">
        <f t="shared" si="26"/>
        <v>8297619.0476190476</v>
      </c>
      <c r="Q104">
        <f t="shared" si="17"/>
        <v>153.66</v>
      </c>
      <c r="R104">
        <f t="shared" si="18"/>
        <v>162.84</v>
      </c>
      <c r="S104">
        <f t="shared" si="19"/>
        <v>176.69</v>
      </c>
      <c r="T104">
        <f t="shared" si="20"/>
        <v>23.03</v>
      </c>
    </row>
    <row r="105" spans="1:20" x14ac:dyDescent="0.25">
      <c r="A105" s="7">
        <v>45810</v>
      </c>
      <c r="B105">
        <v>155.4</v>
      </c>
      <c r="C105">
        <v>154.47999999999999</v>
      </c>
      <c r="D105">
        <v>155.54</v>
      </c>
      <c r="E105">
        <v>152.30000000000001</v>
      </c>
      <c r="F105">
        <v>6.67</v>
      </c>
      <c r="G105">
        <v>0.12</v>
      </c>
      <c r="H105" s="9">
        <f t="shared" si="16"/>
        <v>6670000</v>
      </c>
      <c r="I105" s="1">
        <f t="shared" si="21"/>
        <v>153.63142857142859</v>
      </c>
      <c r="J105" s="1">
        <f t="shared" si="24"/>
        <v>153.06400000000002</v>
      </c>
      <c r="K105" s="1">
        <f t="shared" si="23"/>
        <v>155.08739999999997</v>
      </c>
      <c r="L105">
        <f t="shared" si="14"/>
        <v>3.2399999999999807</v>
      </c>
      <c r="M105" s="1">
        <f t="shared" si="25"/>
        <v>2.376499999999993</v>
      </c>
      <c r="N105" s="2">
        <f t="shared" si="15"/>
        <v>7.9016803221774623E-2</v>
      </c>
      <c r="O105">
        <f t="shared" si="22"/>
        <v>1.679947455366226E-2</v>
      </c>
      <c r="P105" s="16">
        <f t="shared" si="26"/>
        <v>8266190.4761904757</v>
      </c>
      <c r="Q105">
        <f t="shared" si="17"/>
        <v>153.66</v>
      </c>
      <c r="R105">
        <f t="shared" si="18"/>
        <v>162.84</v>
      </c>
      <c r="S105">
        <f t="shared" si="19"/>
        <v>176.69</v>
      </c>
      <c r="T105">
        <f t="shared" si="20"/>
        <v>23.03</v>
      </c>
    </row>
    <row r="106" spans="1:20" x14ac:dyDescent="0.25">
      <c r="A106" s="7">
        <v>45811</v>
      </c>
      <c r="B106">
        <v>154.41999999999999</v>
      </c>
      <c r="C106">
        <v>154.80000000000001</v>
      </c>
      <c r="D106">
        <v>155.66</v>
      </c>
      <c r="E106">
        <v>154.08000000000001</v>
      </c>
      <c r="F106">
        <v>8.2100000000000009</v>
      </c>
      <c r="G106">
        <v>-0.63</v>
      </c>
      <c r="H106" s="9">
        <f t="shared" si="16"/>
        <v>8210000.0000000009</v>
      </c>
      <c r="I106" s="1">
        <f t="shared" si="21"/>
        <v>153.89000000000001</v>
      </c>
      <c r="J106" s="1">
        <f t="shared" si="24"/>
        <v>153.03500000000003</v>
      </c>
      <c r="K106" s="1">
        <f t="shared" si="23"/>
        <v>154.90319999999997</v>
      </c>
      <c r="L106">
        <f t="shared" si="14"/>
        <v>1.5799999999999841</v>
      </c>
      <c r="M106" s="1">
        <f t="shared" si="25"/>
        <v>2.352499999999992</v>
      </c>
      <c r="N106" s="2">
        <f t="shared" si="15"/>
        <v>7.2212192751006654E-2</v>
      </c>
      <c r="O106">
        <f t="shared" si="22"/>
        <v>1.5576399661341989E-2</v>
      </c>
      <c r="P106" s="16">
        <f t="shared" si="26"/>
        <v>8372857.1428571427</v>
      </c>
      <c r="Q106">
        <f t="shared" si="17"/>
        <v>153.66</v>
      </c>
      <c r="R106">
        <f t="shared" si="18"/>
        <v>162.84</v>
      </c>
      <c r="S106">
        <f t="shared" si="19"/>
        <v>176.69</v>
      </c>
      <c r="T106">
        <f t="shared" si="20"/>
        <v>23.03</v>
      </c>
    </row>
    <row r="107" spans="1:20" x14ac:dyDescent="0.25">
      <c r="A107" s="7">
        <v>45812</v>
      </c>
      <c r="B107">
        <v>153.22</v>
      </c>
      <c r="C107">
        <v>154.93</v>
      </c>
      <c r="D107">
        <v>154.93</v>
      </c>
      <c r="E107">
        <v>153.13</v>
      </c>
      <c r="F107">
        <v>6.98</v>
      </c>
      <c r="G107">
        <v>-0.78</v>
      </c>
      <c r="H107" s="9">
        <f t="shared" si="16"/>
        <v>6980000</v>
      </c>
      <c r="I107" s="1">
        <f t="shared" si="21"/>
        <v>153.93</v>
      </c>
      <c r="J107" s="1">
        <f t="shared" si="24"/>
        <v>152.9725</v>
      </c>
      <c r="K107" s="1">
        <f t="shared" si="23"/>
        <v>154.70179999999996</v>
      </c>
      <c r="L107">
        <f t="shared" si="14"/>
        <v>1.8000000000000114</v>
      </c>
      <c r="M107" s="1">
        <f t="shared" si="25"/>
        <v>2.3314999999999926</v>
      </c>
      <c r="N107" s="2">
        <f t="shared" si="15"/>
        <v>6.3880016664352057E-2</v>
      </c>
      <c r="O107">
        <f t="shared" si="22"/>
        <v>9.9018348889913805E-3</v>
      </c>
      <c r="P107" s="16">
        <f t="shared" si="26"/>
        <v>8445238.0952380951</v>
      </c>
      <c r="Q107">
        <f t="shared" si="17"/>
        <v>153.66</v>
      </c>
      <c r="R107">
        <f t="shared" si="18"/>
        <v>162.84</v>
      </c>
      <c r="S107">
        <f t="shared" si="19"/>
        <v>176.69</v>
      </c>
      <c r="T107">
        <f t="shared" si="20"/>
        <v>23.03</v>
      </c>
    </row>
    <row r="108" spans="1:20" x14ac:dyDescent="0.25">
      <c r="A108" s="7">
        <v>45813</v>
      </c>
      <c r="B108">
        <v>153.66</v>
      </c>
      <c r="C108">
        <v>153.68</v>
      </c>
      <c r="D108">
        <v>154.09</v>
      </c>
      <c r="E108">
        <v>152.63999999999999</v>
      </c>
      <c r="F108">
        <v>5.3</v>
      </c>
      <c r="G108">
        <v>0.28999999999999998</v>
      </c>
      <c r="H108" s="9">
        <f t="shared" si="16"/>
        <v>5300000</v>
      </c>
      <c r="I108" s="1">
        <f t="shared" si="21"/>
        <v>153.98857142857145</v>
      </c>
      <c r="J108" s="1">
        <f t="shared" si="24"/>
        <v>152.79050000000001</v>
      </c>
      <c r="K108" s="1">
        <f t="shared" si="23"/>
        <v>154.55459999999997</v>
      </c>
      <c r="L108">
        <f t="shared" si="14"/>
        <v>1.4500000000000171</v>
      </c>
      <c r="M108" s="1">
        <f t="shared" si="25"/>
        <v>2.2319999999999935</v>
      </c>
      <c r="N108" s="2">
        <f t="shared" si="15"/>
        <v>6.6935147896125535E-2</v>
      </c>
      <c r="O108">
        <f t="shared" si="22"/>
        <v>7.2997511744215425E-3</v>
      </c>
      <c r="P108" s="16">
        <f t="shared" si="26"/>
        <v>8286190.4761904757</v>
      </c>
      <c r="Q108">
        <f t="shared" si="17"/>
        <v>153.66</v>
      </c>
      <c r="R108">
        <f t="shared" si="18"/>
        <v>162.84</v>
      </c>
      <c r="S108">
        <f t="shared" si="19"/>
        <v>176.69</v>
      </c>
      <c r="T108">
        <f t="shared" si="20"/>
        <v>23.03</v>
      </c>
    </row>
    <row r="109" spans="1:20" x14ac:dyDescent="0.25">
      <c r="A109" s="7">
        <v>45814</v>
      </c>
      <c r="B109">
        <v>155.03</v>
      </c>
      <c r="C109">
        <v>154</v>
      </c>
      <c r="D109">
        <v>156.03</v>
      </c>
      <c r="E109">
        <v>154</v>
      </c>
      <c r="F109">
        <v>5.39</v>
      </c>
      <c r="G109">
        <v>0.89</v>
      </c>
      <c r="H109" s="9">
        <f t="shared" si="16"/>
        <v>5390000</v>
      </c>
      <c r="I109" s="1">
        <f t="shared" si="21"/>
        <v>154.35999999999999</v>
      </c>
      <c r="J109" s="1">
        <f t="shared" si="24"/>
        <v>152.75900000000004</v>
      </c>
      <c r="K109" s="1">
        <f t="shared" si="23"/>
        <v>154.42079999999996</v>
      </c>
      <c r="L109">
        <f t="shared" si="14"/>
        <v>2.0300000000000011</v>
      </c>
      <c r="M109" s="1">
        <f t="shared" si="25"/>
        <v>2.2209999999999939</v>
      </c>
      <c r="N109" s="2">
        <f t="shared" si="15"/>
        <v>7.6447715595056254E-2</v>
      </c>
      <c r="O109">
        <f t="shared" si="22"/>
        <v>6.6867787116506715E-3</v>
      </c>
      <c r="P109" s="16">
        <f t="shared" si="26"/>
        <v>8169047.6190476194</v>
      </c>
      <c r="Q109">
        <f t="shared" si="17"/>
        <v>153.66</v>
      </c>
      <c r="R109">
        <f t="shared" si="18"/>
        <v>162.84</v>
      </c>
      <c r="S109">
        <f t="shared" si="19"/>
        <v>176.69</v>
      </c>
      <c r="T109">
        <f t="shared" si="20"/>
        <v>23.03</v>
      </c>
    </row>
    <row r="110" spans="1:20" x14ac:dyDescent="0.25">
      <c r="A110" s="7">
        <v>45817</v>
      </c>
      <c r="B110">
        <v>155.22999999999999</v>
      </c>
      <c r="C110">
        <v>154.85</v>
      </c>
      <c r="D110">
        <v>155.99</v>
      </c>
      <c r="E110">
        <v>154.44999999999999</v>
      </c>
      <c r="F110">
        <v>5.32</v>
      </c>
      <c r="G110">
        <v>0.13</v>
      </c>
      <c r="H110" s="9">
        <f t="shared" si="16"/>
        <v>5320000</v>
      </c>
      <c r="I110" s="1">
        <f t="shared" si="21"/>
        <v>154.59571428571425</v>
      </c>
      <c r="J110" s="1">
        <f t="shared" si="24"/>
        <v>152.80950000000001</v>
      </c>
      <c r="K110" s="1">
        <f t="shared" si="23"/>
        <v>154.26279999999994</v>
      </c>
      <c r="L110">
        <f t="shared" si="14"/>
        <v>1.5400000000000205</v>
      </c>
      <c r="M110" s="1">
        <f t="shared" si="25"/>
        <v>2.1854999999999949</v>
      </c>
      <c r="N110" s="2">
        <f t="shared" si="15"/>
        <v>7.7836411609498501E-2</v>
      </c>
      <c r="O110">
        <f t="shared" si="22"/>
        <v>6.8451643634252751E-3</v>
      </c>
      <c r="P110" s="16">
        <f t="shared" si="26"/>
        <v>8060000</v>
      </c>
      <c r="Q110">
        <f t="shared" si="17"/>
        <v>153.66</v>
      </c>
      <c r="R110">
        <f t="shared" si="18"/>
        <v>162.84</v>
      </c>
      <c r="S110">
        <f t="shared" si="19"/>
        <v>176.69</v>
      </c>
      <c r="T110">
        <f t="shared" si="20"/>
        <v>23.03</v>
      </c>
    </row>
    <row r="111" spans="1:20" x14ac:dyDescent="0.25">
      <c r="A111" s="7">
        <v>45818</v>
      </c>
      <c r="B111">
        <v>156.44999999999999</v>
      </c>
      <c r="C111">
        <v>155.43</v>
      </c>
      <c r="D111">
        <v>157.44</v>
      </c>
      <c r="E111">
        <v>155.02000000000001</v>
      </c>
      <c r="F111">
        <v>6.79</v>
      </c>
      <c r="G111">
        <v>0.79</v>
      </c>
      <c r="H111" s="9">
        <f t="shared" si="16"/>
        <v>6790000</v>
      </c>
      <c r="I111" s="1">
        <f t="shared" si="21"/>
        <v>154.77285714285713</v>
      </c>
      <c r="J111" s="1">
        <f t="shared" si="24"/>
        <v>152.92499999999998</v>
      </c>
      <c r="K111" s="1">
        <f t="shared" si="23"/>
        <v>154.11759999999995</v>
      </c>
      <c r="L111">
        <f t="shared" si="14"/>
        <v>2.4199999999999875</v>
      </c>
      <c r="M111" s="1">
        <f t="shared" si="25"/>
        <v>2.0974999999999939</v>
      </c>
      <c r="N111" s="2">
        <f t="shared" si="15"/>
        <v>8.6307457297597479E-2</v>
      </c>
      <c r="O111">
        <f t="shared" si="22"/>
        <v>8.2587228905417354E-3</v>
      </c>
      <c r="P111" s="16">
        <f t="shared" si="26"/>
        <v>8072857.1428571427</v>
      </c>
      <c r="Q111">
        <f t="shared" si="17"/>
        <v>153.66</v>
      </c>
      <c r="R111">
        <f t="shared" si="18"/>
        <v>162.84</v>
      </c>
      <c r="S111">
        <f t="shared" si="19"/>
        <v>176.69</v>
      </c>
      <c r="T111">
        <f t="shared" si="20"/>
        <v>23.03</v>
      </c>
    </row>
    <row r="112" spans="1:20" x14ac:dyDescent="0.25">
      <c r="A112" s="7">
        <v>45819</v>
      </c>
      <c r="B112">
        <v>155.26</v>
      </c>
      <c r="C112">
        <v>156.30000000000001</v>
      </c>
      <c r="D112">
        <v>156.6</v>
      </c>
      <c r="E112">
        <v>154.72999999999999</v>
      </c>
      <c r="F112">
        <v>6.02</v>
      </c>
      <c r="G112">
        <v>-0.76</v>
      </c>
      <c r="H112" s="9">
        <f t="shared" si="16"/>
        <v>6020000</v>
      </c>
      <c r="I112" s="1">
        <f t="shared" si="21"/>
        <v>154.75285714285715</v>
      </c>
      <c r="J112" s="1">
        <f t="shared" si="24"/>
        <v>153.26599999999999</v>
      </c>
      <c r="K112" s="1">
        <f t="shared" si="23"/>
        <v>153.90599999999995</v>
      </c>
      <c r="L112">
        <f t="shared" si="14"/>
        <v>1.8700000000000045</v>
      </c>
      <c r="M112" s="1">
        <f t="shared" si="25"/>
        <v>2.0099999999999953</v>
      </c>
      <c r="N112" s="2">
        <f t="shared" si="15"/>
        <v>7.804471601166485E-2</v>
      </c>
      <c r="O112">
        <f t="shared" si="22"/>
        <v>8.3468427932012722E-3</v>
      </c>
      <c r="P112" s="16">
        <f t="shared" si="26"/>
        <v>7930000</v>
      </c>
      <c r="Q112">
        <f t="shared" si="17"/>
        <v>153.66</v>
      </c>
      <c r="R112">
        <f t="shared" si="18"/>
        <v>162.84</v>
      </c>
      <c r="S112">
        <f t="shared" si="19"/>
        <v>176.69</v>
      </c>
      <c r="T112">
        <f t="shared" si="20"/>
        <v>23.03</v>
      </c>
    </row>
    <row r="113" spans="1:20" x14ac:dyDescent="0.25">
      <c r="A113" s="7">
        <v>45820</v>
      </c>
      <c r="B113">
        <v>156.66</v>
      </c>
      <c r="C113">
        <v>156.24</v>
      </c>
      <c r="D113">
        <v>156.68</v>
      </c>
      <c r="E113">
        <v>155.16999999999999</v>
      </c>
      <c r="F113">
        <v>7.08</v>
      </c>
      <c r="G113">
        <v>0.9</v>
      </c>
      <c r="H113" s="9">
        <f t="shared" si="16"/>
        <v>7080000</v>
      </c>
      <c r="I113" s="1">
        <f t="shared" si="21"/>
        <v>155.07285714285715</v>
      </c>
      <c r="J113" s="1">
        <f t="shared" si="24"/>
        <v>153.78100000000001</v>
      </c>
      <c r="K113" s="1">
        <f t="shared" si="23"/>
        <v>153.97419999999994</v>
      </c>
      <c r="L113">
        <f t="shared" si="14"/>
        <v>1.5100000000000193</v>
      </c>
      <c r="M113" s="1">
        <f t="shared" si="25"/>
        <v>1.9504999999999968</v>
      </c>
      <c r="N113" s="2">
        <f t="shared" si="15"/>
        <v>8.7765588112761916E-2</v>
      </c>
      <c r="O113">
        <f t="shared" si="22"/>
        <v>8.8310919417787983E-3</v>
      </c>
      <c r="P113" s="16">
        <f t="shared" si="26"/>
        <v>7764761.9047619049</v>
      </c>
      <c r="Q113">
        <f t="shared" si="17"/>
        <v>153.66</v>
      </c>
      <c r="R113">
        <f t="shared" si="18"/>
        <v>162.84</v>
      </c>
      <c r="S113">
        <f t="shared" si="19"/>
        <v>176.69</v>
      </c>
      <c r="T113">
        <f t="shared" si="20"/>
        <v>23.03</v>
      </c>
    </row>
    <row r="114" spans="1:20" x14ac:dyDescent="0.25">
      <c r="A114" s="7">
        <v>45821</v>
      </c>
      <c r="B114">
        <v>157.1</v>
      </c>
      <c r="C114">
        <v>155.97</v>
      </c>
      <c r="D114">
        <v>157.66999999999999</v>
      </c>
      <c r="E114">
        <v>155.97</v>
      </c>
      <c r="F114">
        <v>6.59</v>
      </c>
      <c r="G114">
        <v>0.28000000000000003</v>
      </c>
      <c r="H114" s="9">
        <f t="shared" si="16"/>
        <v>6590000</v>
      </c>
      <c r="I114" s="1">
        <f t="shared" si="21"/>
        <v>155.62714285714284</v>
      </c>
      <c r="J114" s="1">
        <f t="shared" si="24"/>
        <v>154.15550000000002</v>
      </c>
      <c r="K114" s="1">
        <f t="shared" si="23"/>
        <v>154.00899999999993</v>
      </c>
      <c r="L114">
        <f t="shared" si="14"/>
        <v>1.6999999999999886</v>
      </c>
      <c r="M114" s="1">
        <f t="shared" si="25"/>
        <v>1.9194999999999964</v>
      </c>
      <c r="N114" s="2">
        <f t="shared" si="15"/>
        <v>9.0820719344535394E-2</v>
      </c>
      <c r="O114">
        <f t="shared" si="22"/>
        <v>9.4425806545038876E-3</v>
      </c>
      <c r="P114" s="16">
        <f t="shared" si="26"/>
        <v>7591904.7619047621</v>
      </c>
      <c r="Q114">
        <f t="shared" si="17"/>
        <v>153.66</v>
      </c>
      <c r="R114">
        <f t="shared" si="18"/>
        <v>162.84</v>
      </c>
      <c r="S114">
        <f t="shared" si="19"/>
        <v>176.69</v>
      </c>
      <c r="T114">
        <f t="shared" si="20"/>
        <v>23.03</v>
      </c>
    </row>
    <row r="115" spans="1:20" x14ac:dyDescent="0.25">
      <c r="A115" s="7">
        <v>45824</v>
      </c>
      <c r="B115">
        <v>155.22</v>
      </c>
      <c r="C115">
        <v>156.41999999999999</v>
      </c>
      <c r="D115">
        <v>156.49</v>
      </c>
      <c r="E115">
        <v>154.44999999999999</v>
      </c>
      <c r="F115">
        <v>7.02</v>
      </c>
      <c r="G115">
        <v>-1.2</v>
      </c>
      <c r="H115" s="9">
        <f t="shared" si="16"/>
        <v>7020000</v>
      </c>
      <c r="I115" s="1">
        <f t="shared" si="21"/>
        <v>155.85</v>
      </c>
      <c r="J115" s="1">
        <f t="shared" si="24"/>
        <v>154.35</v>
      </c>
      <c r="K115" s="1">
        <f t="shared" si="23"/>
        <v>153.91699999999994</v>
      </c>
      <c r="L115">
        <f t="shared" si="14"/>
        <v>2.0400000000000205</v>
      </c>
      <c r="M115" s="1">
        <f t="shared" si="25"/>
        <v>1.9074999999999975</v>
      </c>
      <c r="N115" s="2">
        <f t="shared" si="15"/>
        <v>7.7766976808776533E-2</v>
      </c>
      <c r="O115">
        <f t="shared" si="22"/>
        <v>8.9906850307610794E-3</v>
      </c>
      <c r="P115" s="16">
        <f t="shared" si="26"/>
        <v>7547619.0476190476</v>
      </c>
      <c r="Q115">
        <f t="shared" si="17"/>
        <v>153.66</v>
      </c>
      <c r="R115">
        <f t="shared" si="18"/>
        <v>162.84</v>
      </c>
      <c r="S115">
        <f t="shared" si="19"/>
        <v>176.69</v>
      </c>
      <c r="T115">
        <f t="shared" si="20"/>
        <v>23.03</v>
      </c>
    </row>
    <row r="116" spans="1:20" x14ac:dyDescent="0.25">
      <c r="A116" s="7">
        <v>45825</v>
      </c>
      <c r="B116">
        <v>152.38</v>
      </c>
      <c r="C116">
        <v>154.96</v>
      </c>
      <c r="D116">
        <v>155.28</v>
      </c>
      <c r="E116">
        <v>152.1</v>
      </c>
      <c r="F116">
        <v>6.41</v>
      </c>
      <c r="G116">
        <v>-1.83</v>
      </c>
      <c r="H116" s="9">
        <f t="shared" si="16"/>
        <v>6410000</v>
      </c>
      <c r="I116" s="1">
        <f t="shared" si="21"/>
        <v>155.47142857142856</v>
      </c>
      <c r="J116" s="1">
        <f t="shared" si="24"/>
        <v>154.34449999999998</v>
      </c>
      <c r="K116" s="1">
        <f t="shared" ref="K116:K147" si="27">AVERAGE(B67:B116)</f>
        <v>153.89979999999997</v>
      </c>
      <c r="L116">
        <f t="shared" si="14"/>
        <v>3.1800000000000068</v>
      </c>
      <c r="M116" s="1">
        <f t="shared" si="25"/>
        <v>1.9859999999999984</v>
      </c>
      <c r="N116" s="2">
        <f t="shared" si="15"/>
        <v>5.8047493403693862E-2</v>
      </c>
      <c r="O116">
        <f t="shared" si="22"/>
        <v>9.0386751806004004E-3</v>
      </c>
      <c r="P116" s="16">
        <f t="shared" si="26"/>
        <v>7469523.8095238097</v>
      </c>
      <c r="Q116">
        <f t="shared" si="17"/>
        <v>153.66</v>
      </c>
      <c r="R116">
        <f t="shared" si="18"/>
        <v>162.84</v>
      </c>
      <c r="S116">
        <f t="shared" si="19"/>
        <v>176.69</v>
      </c>
      <c r="T116">
        <f t="shared" si="20"/>
        <v>23.03</v>
      </c>
    </row>
    <row r="117" spans="1:20" x14ac:dyDescent="0.25">
      <c r="A117" s="7">
        <v>45826</v>
      </c>
      <c r="B117">
        <v>150.72999999999999</v>
      </c>
      <c r="C117">
        <v>152.57</v>
      </c>
      <c r="D117">
        <v>152.65</v>
      </c>
      <c r="E117">
        <v>150.71</v>
      </c>
      <c r="F117">
        <v>8.33</v>
      </c>
      <c r="G117">
        <v>-1.08</v>
      </c>
      <c r="H117" s="9">
        <f t="shared" si="16"/>
        <v>8330000</v>
      </c>
      <c r="I117" s="1">
        <f t="shared" si="21"/>
        <v>154.82857142857142</v>
      </c>
      <c r="J117" s="1">
        <f t="shared" si="24"/>
        <v>154.19799999999998</v>
      </c>
      <c r="K117" s="1">
        <f t="shared" si="27"/>
        <v>153.90199999999996</v>
      </c>
      <c r="L117">
        <f t="shared" si="14"/>
        <v>1.9399999999999977</v>
      </c>
      <c r="M117" s="1">
        <f t="shared" si="25"/>
        <v>1.986999999999999</v>
      </c>
      <c r="N117" s="2">
        <f t="shared" si="15"/>
        <v>4.6590751284543597E-2</v>
      </c>
      <c r="O117">
        <f t="shared" si="22"/>
        <v>1.1571089935825438E-2</v>
      </c>
      <c r="P117" s="16">
        <f t="shared" si="26"/>
        <v>7264285.7142857146</v>
      </c>
      <c r="Q117">
        <f t="shared" si="17"/>
        <v>153.66</v>
      </c>
      <c r="R117">
        <f t="shared" si="18"/>
        <v>162.84</v>
      </c>
      <c r="S117">
        <f t="shared" si="19"/>
        <v>176.69</v>
      </c>
      <c r="T117">
        <f t="shared" si="20"/>
        <v>23.03</v>
      </c>
    </row>
    <row r="118" spans="1:20" x14ac:dyDescent="0.25">
      <c r="A118" s="7">
        <v>45828</v>
      </c>
      <c r="B118">
        <v>149.79</v>
      </c>
      <c r="C118">
        <v>151.26</v>
      </c>
      <c r="D118">
        <v>151.4</v>
      </c>
      <c r="E118">
        <v>149.04</v>
      </c>
      <c r="F118">
        <v>22.61</v>
      </c>
      <c r="G118">
        <v>-0.62</v>
      </c>
      <c r="H118" s="9">
        <f t="shared" si="16"/>
        <v>22610000</v>
      </c>
      <c r="I118" s="1">
        <f t="shared" si="21"/>
        <v>153.87714285714287</v>
      </c>
      <c r="J118" s="1">
        <f t="shared" ref="J118:J149" si="28">AVERAGE(B99:B118)</f>
        <v>154.02850000000001</v>
      </c>
      <c r="K118" s="1">
        <f t="shared" si="27"/>
        <v>153.89779999999996</v>
      </c>
      <c r="L118">
        <f t="shared" si="14"/>
        <v>2.3600000000000136</v>
      </c>
      <c r="M118" s="1">
        <f t="shared" si="25"/>
        <v>2.0334999999999992</v>
      </c>
      <c r="N118" s="2">
        <f t="shared" si="15"/>
        <v>4.0063880016664166E-2</v>
      </c>
      <c r="O118">
        <f t="shared" si="22"/>
        <v>1.44652336604066E-2</v>
      </c>
      <c r="P118" s="16">
        <f t="shared" si="26"/>
        <v>7990952.3809523806</v>
      </c>
      <c r="Q118">
        <f t="shared" si="17"/>
        <v>153.66</v>
      </c>
      <c r="R118">
        <f t="shared" si="18"/>
        <v>162.84</v>
      </c>
      <c r="S118">
        <f t="shared" si="19"/>
        <v>176.69</v>
      </c>
      <c r="T118">
        <f t="shared" si="20"/>
        <v>23.03</v>
      </c>
    </row>
    <row r="119" spans="1:20" x14ac:dyDescent="0.25">
      <c r="A119" s="7">
        <v>45831</v>
      </c>
      <c r="B119">
        <v>151.32</v>
      </c>
      <c r="C119">
        <v>149.74</v>
      </c>
      <c r="D119">
        <v>151.43</v>
      </c>
      <c r="E119">
        <v>149.74</v>
      </c>
      <c r="F119">
        <v>7.4</v>
      </c>
      <c r="G119">
        <v>1.02</v>
      </c>
      <c r="H119" s="9">
        <f t="shared" si="16"/>
        <v>7400000</v>
      </c>
      <c r="I119" s="1">
        <f t="shared" si="21"/>
        <v>153.31428571428572</v>
      </c>
      <c r="J119" s="1">
        <f t="shared" si="28"/>
        <v>153.964</v>
      </c>
      <c r="K119" s="1">
        <f t="shared" si="27"/>
        <v>153.90479999999997</v>
      </c>
      <c r="L119">
        <f t="shared" si="14"/>
        <v>1.6899999999999977</v>
      </c>
      <c r="M119" s="1">
        <f t="shared" si="25"/>
        <v>2.0204999999999997</v>
      </c>
      <c r="N119" s="2">
        <f t="shared" si="15"/>
        <v>5.0687404527148816E-2</v>
      </c>
      <c r="O119">
        <f t="shared" si="22"/>
        <v>1.5240257661842659E-2</v>
      </c>
      <c r="P119" s="16">
        <f t="shared" si="26"/>
        <v>8008571.4285714282</v>
      </c>
      <c r="Q119">
        <f t="shared" si="17"/>
        <v>153.66</v>
      </c>
      <c r="R119">
        <f t="shared" si="18"/>
        <v>162.84</v>
      </c>
      <c r="S119">
        <f t="shared" si="19"/>
        <v>176.69</v>
      </c>
      <c r="T119">
        <f t="shared" si="20"/>
        <v>23.03</v>
      </c>
    </row>
    <row r="120" spans="1:20" x14ac:dyDescent="0.25">
      <c r="A120" s="7">
        <v>45832</v>
      </c>
      <c r="B120">
        <v>152.19</v>
      </c>
      <c r="C120">
        <v>151.5</v>
      </c>
      <c r="D120">
        <v>152.72</v>
      </c>
      <c r="E120">
        <v>150.97999999999999</v>
      </c>
      <c r="F120">
        <v>9.5399999999999991</v>
      </c>
      <c r="G120">
        <v>0.56999999999999995</v>
      </c>
      <c r="H120" s="9">
        <f t="shared" si="16"/>
        <v>9540000</v>
      </c>
      <c r="I120" s="1">
        <f t="shared" si="21"/>
        <v>152.67571428571429</v>
      </c>
      <c r="J120" s="1">
        <f t="shared" si="28"/>
        <v>153.9265</v>
      </c>
      <c r="K120" s="1">
        <f t="shared" si="27"/>
        <v>153.97479999999996</v>
      </c>
      <c r="L120">
        <f t="shared" si="14"/>
        <v>1.7400000000000091</v>
      </c>
      <c r="M120" s="1">
        <f t="shared" si="25"/>
        <v>2.0440000000000014</v>
      </c>
      <c r="N120" s="2">
        <f t="shared" si="15"/>
        <v>5.6728232189973582E-2</v>
      </c>
      <c r="O120">
        <f t="shared" si="22"/>
        <v>1.5563814050963952E-2</v>
      </c>
      <c r="P120" s="16">
        <f t="shared" si="26"/>
        <v>8103809.5238095243</v>
      </c>
      <c r="Q120">
        <f t="shared" si="17"/>
        <v>153.66</v>
      </c>
      <c r="R120">
        <f t="shared" si="18"/>
        <v>162.84</v>
      </c>
      <c r="S120">
        <f t="shared" si="19"/>
        <v>176.69</v>
      </c>
      <c r="T120">
        <f t="shared" si="20"/>
        <v>23.03</v>
      </c>
    </row>
    <row r="121" spans="1:20" x14ac:dyDescent="0.25">
      <c r="A121" s="7">
        <v>45833</v>
      </c>
      <c r="B121">
        <v>152.28</v>
      </c>
      <c r="C121">
        <v>151.38</v>
      </c>
      <c r="D121">
        <v>153.07</v>
      </c>
      <c r="E121">
        <v>150.72999999999999</v>
      </c>
      <c r="F121">
        <v>7.15</v>
      </c>
      <c r="G121">
        <v>0.06</v>
      </c>
      <c r="H121" s="9">
        <f t="shared" si="16"/>
        <v>7150000</v>
      </c>
      <c r="I121" s="1">
        <f t="shared" si="21"/>
        <v>151.98714285714286</v>
      </c>
      <c r="J121" s="1">
        <f t="shared" si="28"/>
        <v>153.87800000000001</v>
      </c>
      <c r="K121" s="1">
        <f t="shared" si="27"/>
        <v>153.98579999999995</v>
      </c>
      <c r="L121">
        <f t="shared" si="14"/>
        <v>2.3400000000000034</v>
      </c>
      <c r="M121" s="1">
        <f t="shared" si="25"/>
        <v>2.0555000000000021</v>
      </c>
      <c r="N121" s="2">
        <f t="shared" si="15"/>
        <v>5.7353145396472627E-2</v>
      </c>
      <c r="O121">
        <f t="shared" si="22"/>
        <v>1.5789039843164578E-2</v>
      </c>
      <c r="P121" s="16">
        <f t="shared" si="26"/>
        <v>8123809.5238095243</v>
      </c>
      <c r="Q121">
        <f t="shared" si="17"/>
        <v>153.66</v>
      </c>
      <c r="R121">
        <f t="shared" si="18"/>
        <v>162.84</v>
      </c>
      <c r="S121">
        <f t="shared" si="19"/>
        <v>176.69</v>
      </c>
      <c r="T121">
        <f t="shared" si="20"/>
        <v>23.03</v>
      </c>
    </row>
    <row r="122" spans="1:20" x14ac:dyDescent="0.25">
      <c r="A122" s="7">
        <v>45834</v>
      </c>
      <c r="B122">
        <v>152.01</v>
      </c>
      <c r="C122">
        <v>152.69999999999999</v>
      </c>
      <c r="D122">
        <v>153.22</v>
      </c>
      <c r="E122">
        <v>151.53</v>
      </c>
      <c r="F122">
        <v>7.16</v>
      </c>
      <c r="G122">
        <v>-0.18</v>
      </c>
      <c r="H122" s="9">
        <f t="shared" si="16"/>
        <v>7160000</v>
      </c>
      <c r="I122" s="1">
        <f t="shared" si="21"/>
        <v>151.52857142857144</v>
      </c>
      <c r="J122" s="1">
        <f t="shared" si="28"/>
        <v>153.85700000000003</v>
      </c>
      <c r="K122" s="1">
        <f t="shared" si="27"/>
        <v>153.93879999999996</v>
      </c>
      <c r="L122">
        <f t="shared" si="14"/>
        <v>1.6899999999999977</v>
      </c>
      <c r="M122" s="1">
        <f t="shared" si="25"/>
        <v>2.0545000000000031</v>
      </c>
      <c r="N122" s="2">
        <f t="shared" si="15"/>
        <v>5.547840577697527E-2</v>
      </c>
      <c r="O122">
        <f t="shared" si="22"/>
        <v>1.6114334083417736E-2</v>
      </c>
      <c r="P122" s="16">
        <f t="shared" si="26"/>
        <v>8131904.7619047621</v>
      </c>
      <c r="Q122">
        <f t="shared" si="17"/>
        <v>153.66</v>
      </c>
      <c r="R122">
        <f t="shared" si="18"/>
        <v>162.84</v>
      </c>
      <c r="S122">
        <f t="shared" si="19"/>
        <v>176.69</v>
      </c>
      <c r="T122">
        <f t="shared" si="20"/>
        <v>23.03</v>
      </c>
    </row>
    <row r="123" spans="1:20" x14ac:dyDescent="0.25">
      <c r="A123" s="7">
        <v>45835</v>
      </c>
      <c r="B123">
        <v>152.41</v>
      </c>
      <c r="C123">
        <v>152.01</v>
      </c>
      <c r="D123">
        <v>153.33000000000001</v>
      </c>
      <c r="E123">
        <v>151.01</v>
      </c>
      <c r="F123">
        <v>10.01</v>
      </c>
      <c r="G123">
        <v>0.26</v>
      </c>
      <c r="H123" s="9">
        <f t="shared" si="16"/>
        <v>10010000</v>
      </c>
      <c r="I123" s="1">
        <f t="shared" si="21"/>
        <v>151.53285714285715</v>
      </c>
      <c r="J123" s="1">
        <f t="shared" si="28"/>
        <v>153.79850000000002</v>
      </c>
      <c r="K123" s="1">
        <f t="shared" si="27"/>
        <v>153.91459999999995</v>
      </c>
      <c r="L123">
        <f t="shared" si="14"/>
        <v>2.3200000000000216</v>
      </c>
      <c r="M123" s="1">
        <f t="shared" si="25"/>
        <v>2.0465000000000044</v>
      </c>
      <c r="N123" s="2">
        <f t="shared" si="15"/>
        <v>5.825579780586021E-2</v>
      </c>
      <c r="O123">
        <f t="shared" si="22"/>
        <v>1.6044594833016342E-2</v>
      </c>
      <c r="P123" s="16">
        <f t="shared" si="26"/>
        <v>8205714.2857142854</v>
      </c>
      <c r="Q123">
        <f t="shared" si="17"/>
        <v>153.66</v>
      </c>
      <c r="R123">
        <f t="shared" si="18"/>
        <v>162.84</v>
      </c>
      <c r="S123">
        <f t="shared" si="19"/>
        <v>176.69</v>
      </c>
      <c r="T123">
        <f t="shared" si="20"/>
        <v>23.03</v>
      </c>
    </row>
    <row r="124" spans="1:20" x14ac:dyDescent="0.25">
      <c r="A124" s="7">
        <v>45838</v>
      </c>
      <c r="B124">
        <v>152.75</v>
      </c>
      <c r="C124">
        <v>152.16</v>
      </c>
      <c r="D124">
        <v>152.97</v>
      </c>
      <c r="E124">
        <v>151.52000000000001</v>
      </c>
      <c r="F124">
        <v>9.0399999999999991</v>
      </c>
      <c r="G124">
        <v>0.22</v>
      </c>
      <c r="H124" s="9">
        <f t="shared" si="16"/>
        <v>9040000</v>
      </c>
      <c r="I124" s="1">
        <f t="shared" si="21"/>
        <v>151.82142857142858</v>
      </c>
      <c r="J124" s="1">
        <f t="shared" si="28"/>
        <v>153.6755</v>
      </c>
      <c r="K124" s="1">
        <f t="shared" si="27"/>
        <v>153.89139999999998</v>
      </c>
      <c r="L124">
        <f t="shared" si="14"/>
        <v>1.4499999999999886</v>
      </c>
      <c r="M124" s="1">
        <f t="shared" si="25"/>
        <v>1.9945000000000035</v>
      </c>
      <c r="N124" s="2">
        <f t="shared" si="15"/>
        <v>6.0616581030412453E-2</v>
      </c>
      <c r="O124">
        <f t="shared" si="22"/>
        <v>1.5734775698789453E-2</v>
      </c>
      <c r="P124" s="16">
        <f t="shared" si="26"/>
        <v>8311904.7619047621</v>
      </c>
      <c r="Q124">
        <f t="shared" si="17"/>
        <v>153.66</v>
      </c>
      <c r="R124">
        <f t="shared" si="18"/>
        <v>162.84</v>
      </c>
      <c r="S124">
        <f t="shared" si="19"/>
        <v>176.69</v>
      </c>
      <c r="T124">
        <f t="shared" si="20"/>
        <v>23.03</v>
      </c>
    </row>
    <row r="125" spans="1:20" x14ac:dyDescent="0.25">
      <c r="A125" s="7">
        <v>45839</v>
      </c>
      <c r="B125">
        <v>155.91999999999999</v>
      </c>
      <c r="C125">
        <v>153</v>
      </c>
      <c r="D125">
        <v>157.75</v>
      </c>
      <c r="E125">
        <v>152.81</v>
      </c>
      <c r="F125">
        <v>10.9</v>
      </c>
      <c r="G125">
        <v>2.08</v>
      </c>
      <c r="H125" s="9">
        <f t="shared" si="16"/>
        <v>10900000</v>
      </c>
      <c r="I125" s="1">
        <f t="shared" si="21"/>
        <v>152.69714285714284</v>
      </c>
      <c r="J125" s="1">
        <f t="shared" si="28"/>
        <v>153.70150000000004</v>
      </c>
      <c r="K125" s="1">
        <f t="shared" si="27"/>
        <v>153.86039999999994</v>
      </c>
      <c r="L125">
        <f t="shared" si="14"/>
        <v>4.9399999999999977</v>
      </c>
      <c r="M125" s="1">
        <f t="shared" si="25"/>
        <v>2.0795000000000043</v>
      </c>
      <c r="N125" s="2">
        <f t="shared" si="15"/>
        <v>8.2627412859324956E-2</v>
      </c>
      <c r="O125">
        <f t="shared" si="22"/>
        <v>1.5397211592083522E-2</v>
      </c>
      <c r="P125" s="16">
        <f t="shared" si="26"/>
        <v>8091428.5714285718</v>
      </c>
      <c r="Q125">
        <f t="shared" si="17"/>
        <v>153.66</v>
      </c>
      <c r="R125">
        <f t="shared" si="18"/>
        <v>162.84</v>
      </c>
      <c r="S125">
        <f t="shared" si="19"/>
        <v>176.69</v>
      </c>
      <c r="T125">
        <f t="shared" si="20"/>
        <v>23.03</v>
      </c>
    </row>
    <row r="126" spans="1:20" x14ac:dyDescent="0.25">
      <c r="A126" s="7">
        <v>45840</v>
      </c>
      <c r="B126">
        <v>155.56</v>
      </c>
      <c r="C126">
        <v>156</v>
      </c>
      <c r="D126">
        <v>156.30000000000001</v>
      </c>
      <c r="E126">
        <v>155.07</v>
      </c>
      <c r="F126">
        <v>5.54</v>
      </c>
      <c r="G126">
        <v>-0.23</v>
      </c>
      <c r="H126" s="9">
        <f t="shared" si="16"/>
        <v>5540000</v>
      </c>
      <c r="I126" s="1">
        <f t="shared" si="21"/>
        <v>153.30285714285714</v>
      </c>
      <c r="J126" s="1">
        <f t="shared" si="28"/>
        <v>153.75849999999997</v>
      </c>
      <c r="K126" s="1">
        <f t="shared" si="27"/>
        <v>153.83319999999998</v>
      </c>
      <c r="L126">
        <f t="shared" si="14"/>
        <v>1.2300000000000182</v>
      </c>
      <c r="M126" s="1">
        <f t="shared" si="25"/>
        <v>2.0620000000000061</v>
      </c>
      <c r="N126" s="2">
        <f t="shared" si="15"/>
        <v>8.0127760033328554E-2</v>
      </c>
      <c r="O126">
        <f t="shared" si="22"/>
        <v>1.5538284560464832E-2</v>
      </c>
      <c r="P126" s="16">
        <f t="shared" si="26"/>
        <v>8037619.0476190476</v>
      </c>
      <c r="Q126">
        <f t="shared" si="17"/>
        <v>153.66</v>
      </c>
      <c r="R126">
        <f t="shared" si="18"/>
        <v>162.84</v>
      </c>
      <c r="S126">
        <f t="shared" si="19"/>
        <v>176.69</v>
      </c>
      <c r="T126">
        <f t="shared" si="20"/>
        <v>23.03</v>
      </c>
    </row>
    <row r="127" spans="1:20" x14ac:dyDescent="0.25">
      <c r="A127" s="7">
        <v>45841</v>
      </c>
      <c r="B127">
        <v>156.01</v>
      </c>
      <c r="C127">
        <v>155.43</v>
      </c>
      <c r="D127">
        <v>156.28</v>
      </c>
      <c r="E127">
        <v>154.88</v>
      </c>
      <c r="F127">
        <v>3.48</v>
      </c>
      <c r="G127">
        <v>0.28999999999999998</v>
      </c>
      <c r="H127" s="9">
        <f t="shared" si="16"/>
        <v>3480000</v>
      </c>
      <c r="I127" s="1">
        <f t="shared" si="21"/>
        <v>153.8485714285714</v>
      </c>
      <c r="J127" s="1">
        <f t="shared" si="28"/>
        <v>153.89799999999997</v>
      </c>
      <c r="K127" s="1">
        <f t="shared" si="27"/>
        <v>153.79839999999999</v>
      </c>
      <c r="L127">
        <f t="shared" si="14"/>
        <v>1.4000000000000057</v>
      </c>
      <c r="M127" s="1">
        <f t="shared" si="25"/>
        <v>2.042000000000006</v>
      </c>
      <c r="N127" s="2">
        <f t="shared" si="15"/>
        <v>8.3252326065824001E-2</v>
      </c>
      <c r="O127">
        <f t="shared" si="22"/>
        <v>1.5092567135233579E-2</v>
      </c>
      <c r="P127" s="16">
        <f t="shared" si="26"/>
        <v>7812380.9523809524</v>
      </c>
      <c r="Q127">
        <f t="shared" si="17"/>
        <v>153.66</v>
      </c>
      <c r="R127">
        <f t="shared" si="18"/>
        <v>162.84</v>
      </c>
      <c r="S127">
        <f t="shared" si="19"/>
        <v>176.69</v>
      </c>
      <c r="T127">
        <f t="shared" si="20"/>
        <v>23.03</v>
      </c>
    </row>
    <row r="128" spans="1:20" x14ac:dyDescent="0.25">
      <c r="A128" s="7">
        <v>45845</v>
      </c>
      <c r="B128">
        <v>155.27000000000001</v>
      </c>
      <c r="C128">
        <v>156.02000000000001</v>
      </c>
      <c r="D128">
        <v>156.35</v>
      </c>
      <c r="E128">
        <v>154.88999999999999</v>
      </c>
      <c r="F128">
        <v>6.27</v>
      </c>
      <c r="G128">
        <v>-0.47</v>
      </c>
      <c r="H128" s="9">
        <f t="shared" si="16"/>
        <v>6270000</v>
      </c>
      <c r="I128" s="1">
        <f t="shared" si="21"/>
        <v>154.27571428571426</v>
      </c>
      <c r="J128" s="1">
        <f t="shared" si="28"/>
        <v>153.97849999999997</v>
      </c>
      <c r="K128" s="1">
        <f t="shared" si="27"/>
        <v>153.7962</v>
      </c>
      <c r="L128">
        <f t="shared" si="14"/>
        <v>1.460000000000008</v>
      </c>
      <c r="M128" s="1">
        <f t="shared" si="25"/>
        <v>2.0425000000000053</v>
      </c>
      <c r="N128" s="2">
        <f t="shared" si="15"/>
        <v>7.8114150812387262E-2</v>
      </c>
      <c r="O128">
        <f t="shared" si="22"/>
        <v>1.3788481169127056E-2</v>
      </c>
      <c r="P128" s="16">
        <f t="shared" si="26"/>
        <v>7778571.4285714282</v>
      </c>
      <c r="Q128">
        <f t="shared" si="17"/>
        <v>153.66</v>
      </c>
      <c r="R128">
        <f t="shared" si="18"/>
        <v>162.84</v>
      </c>
      <c r="S128">
        <f t="shared" si="19"/>
        <v>176.69</v>
      </c>
      <c r="T128">
        <f t="shared" si="20"/>
        <v>23.03</v>
      </c>
    </row>
    <row r="129" spans="1:20" x14ac:dyDescent="0.25">
      <c r="A129" s="7">
        <v>45846</v>
      </c>
      <c r="B129">
        <v>155.79</v>
      </c>
      <c r="C129">
        <v>154.47999999999999</v>
      </c>
      <c r="D129">
        <v>156.76</v>
      </c>
      <c r="E129">
        <v>154.21</v>
      </c>
      <c r="F129">
        <v>6.44</v>
      </c>
      <c r="G129">
        <v>0.33</v>
      </c>
      <c r="H129" s="9">
        <f t="shared" si="16"/>
        <v>6440000</v>
      </c>
      <c r="I129" s="1">
        <f t="shared" si="21"/>
        <v>154.81571428571425</v>
      </c>
      <c r="J129" s="1">
        <f t="shared" si="28"/>
        <v>154.01649999999998</v>
      </c>
      <c r="K129" s="1">
        <f t="shared" si="27"/>
        <v>153.81339999999997</v>
      </c>
      <c r="L129">
        <f t="shared" si="14"/>
        <v>2.5499999999999829</v>
      </c>
      <c r="M129" s="1">
        <f t="shared" si="25"/>
        <v>2.0685000000000047</v>
      </c>
      <c r="N129" s="2">
        <f t="shared" si="15"/>
        <v>8.1724760449937373E-2</v>
      </c>
      <c r="O129">
        <f t="shared" si="22"/>
        <v>1.4119508705567503E-2</v>
      </c>
      <c r="P129" s="16">
        <f t="shared" si="26"/>
        <v>7832857.1428571427</v>
      </c>
      <c r="Q129">
        <f t="shared" si="17"/>
        <v>153.66</v>
      </c>
      <c r="R129">
        <f t="shared" si="18"/>
        <v>162.84</v>
      </c>
      <c r="S129">
        <f t="shared" si="19"/>
        <v>176.69</v>
      </c>
      <c r="T129">
        <f t="shared" si="20"/>
        <v>23.03</v>
      </c>
    </row>
    <row r="130" spans="1:20" x14ac:dyDescent="0.25">
      <c r="A130" s="7">
        <v>45847</v>
      </c>
      <c r="B130">
        <v>156.28</v>
      </c>
      <c r="C130">
        <v>155.79</v>
      </c>
      <c r="D130">
        <v>156.69</v>
      </c>
      <c r="E130">
        <v>155.07</v>
      </c>
      <c r="F130">
        <v>6.15</v>
      </c>
      <c r="G130">
        <v>0.31</v>
      </c>
      <c r="H130" s="9">
        <f t="shared" si="16"/>
        <v>6150000</v>
      </c>
      <c r="I130" s="1">
        <f t="shared" si="21"/>
        <v>155.36857142857141</v>
      </c>
      <c r="J130" s="1">
        <f t="shared" si="28"/>
        <v>154.06900000000002</v>
      </c>
      <c r="K130" s="1">
        <f t="shared" si="27"/>
        <v>153.84739999999999</v>
      </c>
      <c r="L130">
        <f t="shared" si="14"/>
        <v>1.6200000000000045</v>
      </c>
      <c r="M130" s="1">
        <f t="shared" si="25"/>
        <v>2.0725000000000038</v>
      </c>
      <c r="N130" s="2">
        <f t="shared" si="15"/>
        <v>8.5127065685321357E-2</v>
      </c>
      <c r="O130">
        <f t="shared" si="22"/>
        <v>1.5057234014984974E-2</v>
      </c>
      <c r="P130" s="16">
        <f t="shared" si="26"/>
        <v>7869047.6190476194</v>
      </c>
      <c r="Q130">
        <f t="shared" si="17"/>
        <v>153.66</v>
      </c>
      <c r="R130">
        <f t="shared" si="18"/>
        <v>162.84</v>
      </c>
      <c r="S130">
        <f t="shared" si="19"/>
        <v>176.69</v>
      </c>
      <c r="T130">
        <f t="shared" si="20"/>
        <v>23.03</v>
      </c>
    </row>
    <row r="131" spans="1:20" x14ac:dyDescent="0.25">
      <c r="A131" s="7">
        <v>45848</v>
      </c>
      <c r="B131">
        <v>157.69</v>
      </c>
      <c r="C131">
        <v>156.1</v>
      </c>
      <c r="D131">
        <v>159.24</v>
      </c>
      <c r="E131">
        <v>155.82</v>
      </c>
      <c r="F131">
        <v>6.73</v>
      </c>
      <c r="G131">
        <v>0.9</v>
      </c>
      <c r="H131" s="9">
        <f t="shared" si="16"/>
        <v>6730000</v>
      </c>
      <c r="I131" s="1">
        <f t="shared" si="21"/>
        <v>156.07428571428571</v>
      </c>
      <c r="J131" s="1">
        <f t="shared" si="28"/>
        <v>154.13100000000003</v>
      </c>
      <c r="K131" s="1">
        <f t="shared" si="27"/>
        <v>153.89419999999998</v>
      </c>
      <c r="L131">
        <f t="shared" ref="L131:L194" si="29">D131-E131</f>
        <v>3.4200000000000159</v>
      </c>
      <c r="M131" s="1">
        <f t="shared" si="25"/>
        <v>2.1225000000000049</v>
      </c>
      <c r="N131" s="2">
        <f t="shared" ref="N131:N194" si="30">(B131/$B$3)-1</f>
        <v>9.4917372587140614E-2</v>
      </c>
      <c r="O131">
        <f t="shared" si="22"/>
        <v>1.5849356772320383E-2</v>
      </c>
      <c r="P131" s="16">
        <f t="shared" si="26"/>
        <v>7936190.4761904757</v>
      </c>
      <c r="Q131">
        <f t="shared" si="17"/>
        <v>153.66</v>
      </c>
      <c r="R131">
        <f t="shared" si="18"/>
        <v>162.84</v>
      </c>
      <c r="S131">
        <f t="shared" si="19"/>
        <v>176.69</v>
      </c>
      <c r="T131">
        <f t="shared" si="20"/>
        <v>23.03</v>
      </c>
    </row>
    <row r="132" spans="1:20" x14ac:dyDescent="0.25">
      <c r="A132" s="7">
        <v>45849</v>
      </c>
      <c r="B132">
        <v>156.9</v>
      </c>
      <c r="C132">
        <v>157.09</v>
      </c>
      <c r="D132">
        <v>157.18</v>
      </c>
      <c r="E132">
        <v>155.18</v>
      </c>
      <c r="F132">
        <v>7.87</v>
      </c>
      <c r="G132">
        <v>-0.5</v>
      </c>
      <c r="H132" s="9">
        <f t="shared" ref="H132:H195" si="31">F132*1000000</f>
        <v>7870000</v>
      </c>
      <c r="I132" s="1">
        <f t="shared" si="21"/>
        <v>156.21428571428572</v>
      </c>
      <c r="J132" s="1">
        <f t="shared" si="28"/>
        <v>154.21300000000002</v>
      </c>
      <c r="K132" s="1">
        <f t="shared" si="27"/>
        <v>153.91399999999999</v>
      </c>
      <c r="L132">
        <f t="shared" si="29"/>
        <v>2</v>
      </c>
      <c r="M132" s="1">
        <f t="shared" si="25"/>
        <v>2.1290000000000049</v>
      </c>
      <c r="N132" s="2">
        <f t="shared" si="30"/>
        <v>8.9432023330092925E-2</v>
      </c>
      <c r="O132">
        <f t="shared" si="22"/>
        <v>1.4465328037028583E-2</v>
      </c>
      <c r="P132" s="16">
        <f t="shared" si="26"/>
        <v>7987619.0476190476</v>
      </c>
      <c r="Q132">
        <f t="shared" ref="Q132:Q195" si="32">_xlfn.QUARTILE.EXC($B:$B,1)</f>
        <v>153.66</v>
      </c>
      <c r="R132">
        <f t="shared" ref="R132:R195" si="33">_xlfn.QUARTILE.EXC($B:$B,2)</f>
        <v>162.84</v>
      </c>
      <c r="S132">
        <f t="shared" ref="S132:S195" si="34">_xlfn.QUARTILE.EXC($B:$B,3)</f>
        <v>176.69</v>
      </c>
      <c r="T132">
        <f t="shared" ref="T132:T195" si="35">S132-Q132</f>
        <v>23.03</v>
      </c>
    </row>
    <row r="133" spans="1:20" x14ac:dyDescent="0.25">
      <c r="A133" s="7">
        <v>45852</v>
      </c>
      <c r="B133">
        <v>156.82</v>
      </c>
      <c r="C133">
        <v>156.87</v>
      </c>
      <c r="D133">
        <v>157.47</v>
      </c>
      <c r="E133">
        <v>155.52000000000001</v>
      </c>
      <c r="F133">
        <v>10.19</v>
      </c>
      <c r="G133">
        <v>-0.05</v>
      </c>
      <c r="H133" s="9">
        <f t="shared" si="31"/>
        <v>10190000</v>
      </c>
      <c r="I133" s="1">
        <f t="shared" si="21"/>
        <v>156.3942857142857</v>
      </c>
      <c r="J133" s="1">
        <f t="shared" si="28"/>
        <v>154.22100000000003</v>
      </c>
      <c r="K133" s="1">
        <f t="shared" si="27"/>
        <v>153.92419999999998</v>
      </c>
      <c r="L133">
        <f t="shared" si="29"/>
        <v>1.9499999999999886</v>
      </c>
      <c r="M133" s="1">
        <f t="shared" si="25"/>
        <v>2.1510000000000034</v>
      </c>
      <c r="N133" s="2">
        <f t="shared" si="30"/>
        <v>8.8876544924315848E-2</v>
      </c>
      <c r="O133">
        <f t="shared" si="22"/>
        <v>1.3681874266882017E-2</v>
      </c>
      <c r="P133" s="16">
        <f t="shared" si="26"/>
        <v>8186190.4761904757</v>
      </c>
      <c r="Q133">
        <f t="shared" si="32"/>
        <v>153.66</v>
      </c>
      <c r="R133">
        <f t="shared" si="33"/>
        <v>162.84</v>
      </c>
      <c r="S133">
        <f t="shared" si="34"/>
        <v>176.69</v>
      </c>
      <c r="T133">
        <f t="shared" si="35"/>
        <v>23.03</v>
      </c>
    </row>
    <row r="134" spans="1:20" x14ac:dyDescent="0.25">
      <c r="A134" s="7">
        <v>45853</v>
      </c>
      <c r="B134">
        <v>155.16999999999999</v>
      </c>
      <c r="C134">
        <v>156.36000000000001</v>
      </c>
      <c r="D134">
        <v>157.19</v>
      </c>
      <c r="E134">
        <v>154.80000000000001</v>
      </c>
      <c r="F134">
        <v>6.87</v>
      </c>
      <c r="G134">
        <v>-1.05</v>
      </c>
      <c r="H134" s="9">
        <f t="shared" si="31"/>
        <v>6870000</v>
      </c>
      <c r="I134" s="1">
        <f t="shared" si="21"/>
        <v>156.27428571428572</v>
      </c>
      <c r="J134" s="1">
        <f t="shared" si="28"/>
        <v>154.12450000000004</v>
      </c>
      <c r="K134" s="1">
        <f t="shared" si="27"/>
        <v>153.93839999999997</v>
      </c>
      <c r="L134">
        <f t="shared" si="29"/>
        <v>2.3899999999999864</v>
      </c>
      <c r="M134" s="1">
        <f t="shared" si="25"/>
        <v>2.1855000000000033</v>
      </c>
      <c r="N134" s="2">
        <f t="shared" si="30"/>
        <v>7.7419802805165805E-2</v>
      </c>
      <c r="O134">
        <f t="shared" si="22"/>
        <v>1.2689560451640889E-2</v>
      </c>
      <c r="P134" s="16">
        <f t="shared" si="26"/>
        <v>8176190.4761904757</v>
      </c>
      <c r="Q134">
        <f t="shared" si="32"/>
        <v>153.66</v>
      </c>
      <c r="R134">
        <f t="shared" si="33"/>
        <v>162.84</v>
      </c>
      <c r="S134">
        <f t="shared" si="34"/>
        <v>176.69</v>
      </c>
      <c r="T134">
        <f t="shared" si="35"/>
        <v>23.03</v>
      </c>
    </row>
    <row r="135" spans="1:20" x14ac:dyDescent="0.25">
      <c r="A135" s="7">
        <v>45854</v>
      </c>
      <c r="B135">
        <v>164.78</v>
      </c>
      <c r="C135">
        <v>160.30000000000001</v>
      </c>
      <c r="D135">
        <v>166.12</v>
      </c>
      <c r="E135">
        <v>159.80000000000001</v>
      </c>
      <c r="F135">
        <v>22.13</v>
      </c>
      <c r="G135">
        <v>6.19</v>
      </c>
      <c r="H135" s="9">
        <f t="shared" si="31"/>
        <v>22130000</v>
      </c>
      <c r="I135" s="1">
        <f t="shared" si="21"/>
        <v>157.63285714285715</v>
      </c>
      <c r="J135" s="1">
        <f t="shared" si="28"/>
        <v>154.60250000000005</v>
      </c>
      <c r="K135" s="1">
        <f t="shared" si="27"/>
        <v>154.11159999999998</v>
      </c>
      <c r="L135">
        <f t="shared" si="29"/>
        <v>6.3199999999999932</v>
      </c>
      <c r="M135" s="1">
        <f t="shared" si="25"/>
        <v>2.399500000000002</v>
      </c>
      <c r="N135" s="2">
        <f t="shared" si="30"/>
        <v>0.14414664629912499</v>
      </c>
      <c r="O135">
        <f t="shared" si="22"/>
        <v>2.0523386703287141E-2</v>
      </c>
      <c r="P135" s="16">
        <f t="shared" si="26"/>
        <v>8916190.4761904757</v>
      </c>
      <c r="Q135">
        <f t="shared" si="32"/>
        <v>153.66</v>
      </c>
      <c r="R135">
        <f t="shared" si="33"/>
        <v>162.84</v>
      </c>
      <c r="S135">
        <f t="shared" si="34"/>
        <v>176.69</v>
      </c>
      <c r="T135">
        <f t="shared" si="35"/>
        <v>23.03</v>
      </c>
    </row>
    <row r="136" spans="1:20" x14ac:dyDescent="0.25">
      <c r="A136" s="7">
        <v>45855</v>
      </c>
      <c r="B136">
        <v>162.97999999999999</v>
      </c>
      <c r="C136">
        <v>163.18</v>
      </c>
      <c r="D136">
        <v>164.7</v>
      </c>
      <c r="E136">
        <v>162.30000000000001</v>
      </c>
      <c r="F136">
        <v>11.3</v>
      </c>
      <c r="G136">
        <v>-1.0900000000000001</v>
      </c>
      <c r="H136" s="9">
        <f t="shared" si="31"/>
        <v>11300000</v>
      </c>
      <c r="I136" s="1">
        <f t="shared" si="21"/>
        <v>158.66</v>
      </c>
      <c r="J136" s="1">
        <f t="shared" si="28"/>
        <v>155.13250000000002</v>
      </c>
      <c r="K136" s="1">
        <f t="shared" si="27"/>
        <v>154.27119999999996</v>
      </c>
      <c r="L136">
        <f t="shared" si="29"/>
        <v>2.3999999999999773</v>
      </c>
      <c r="M136" s="1">
        <f t="shared" si="25"/>
        <v>2.3605000000000005</v>
      </c>
      <c r="N136" s="2">
        <f t="shared" si="30"/>
        <v>0.13164838216914299</v>
      </c>
      <c r="O136">
        <f t="shared" si="22"/>
        <v>2.2539224762852902E-2</v>
      </c>
      <c r="P136" s="16">
        <f t="shared" si="26"/>
        <v>9120000</v>
      </c>
      <c r="Q136">
        <f t="shared" si="32"/>
        <v>153.66</v>
      </c>
      <c r="R136">
        <f t="shared" si="33"/>
        <v>162.84</v>
      </c>
      <c r="S136">
        <f t="shared" si="34"/>
        <v>176.69</v>
      </c>
      <c r="T136">
        <f t="shared" si="35"/>
        <v>23.03</v>
      </c>
    </row>
    <row r="137" spans="1:20" x14ac:dyDescent="0.25">
      <c r="A137" s="7">
        <v>45856</v>
      </c>
      <c r="B137">
        <v>163.69999999999999</v>
      </c>
      <c r="C137">
        <v>163.93</v>
      </c>
      <c r="D137">
        <v>165.1</v>
      </c>
      <c r="E137">
        <v>163.36000000000001</v>
      </c>
      <c r="F137">
        <v>9.7899999999999991</v>
      </c>
      <c r="G137">
        <v>0.44</v>
      </c>
      <c r="H137" s="9">
        <f t="shared" si="31"/>
        <v>9790000</v>
      </c>
      <c r="I137" s="1">
        <f t="shared" si="21"/>
        <v>159.72</v>
      </c>
      <c r="J137" s="1">
        <f t="shared" si="28"/>
        <v>155.78100000000001</v>
      </c>
      <c r="K137" s="1">
        <f t="shared" si="27"/>
        <v>154.45579999999995</v>
      </c>
      <c r="L137">
        <f t="shared" si="29"/>
        <v>1.7399999999999807</v>
      </c>
      <c r="M137" s="1">
        <f t="shared" si="25"/>
        <v>2.3504999999999994</v>
      </c>
      <c r="N137" s="2">
        <f t="shared" si="30"/>
        <v>0.13664768782113579</v>
      </c>
      <c r="O137">
        <f t="shared" si="22"/>
        <v>2.4064138522475988E-2</v>
      </c>
      <c r="P137" s="16">
        <f t="shared" si="26"/>
        <v>9280952.3809523806</v>
      </c>
      <c r="Q137">
        <f t="shared" si="32"/>
        <v>153.66</v>
      </c>
      <c r="R137">
        <f t="shared" si="33"/>
        <v>162.84</v>
      </c>
      <c r="S137">
        <f t="shared" si="34"/>
        <v>176.69</v>
      </c>
      <c r="T137">
        <f t="shared" si="35"/>
        <v>23.03</v>
      </c>
    </row>
    <row r="138" spans="1:20" x14ac:dyDescent="0.25">
      <c r="A138" s="7">
        <v>45859</v>
      </c>
      <c r="B138">
        <v>164.36</v>
      </c>
      <c r="C138">
        <v>163.77000000000001</v>
      </c>
      <c r="D138">
        <v>164.91</v>
      </c>
      <c r="E138">
        <v>162.78</v>
      </c>
      <c r="F138">
        <v>8.25</v>
      </c>
      <c r="G138">
        <v>0.4</v>
      </c>
      <c r="H138" s="9">
        <f t="shared" si="31"/>
        <v>8250000</v>
      </c>
      <c r="I138" s="1">
        <f t="shared" ref="I138:I201" si="36">AVERAGE(B132:B138)</f>
        <v>160.67285714285714</v>
      </c>
      <c r="J138" s="1">
        <f t="shared" si="28"/>
        <v>156.5095</v>
      </c>
      <c r="K138" s="1">
        <f t="shared" si="27"/>
        <v>154.59699999999992</v>
      </c>
      <c r="L138">
        <f t="shared" si="29"/>
        <v>2.1299999999999955</v>
      </c>
      <c r="M138" s="1">
        <f t="shared" si="25"/>
        <v>2.3389999999999986</v>
      </c>
      <c r="N138" s="2">
        <f t="shared" si="30"/>
        <v>0.14123038466879612</v>
      </c>
      <c r="O138">
        <f t="shared" si="22"/>
        <v>2.5034902959564752E-2</v>
      </c>
      <c r="P138" s="16">
        <f t="shared" si="26"/>
        <v>9277142.8571428563</v>
      </c>
      <c r="Q138">
        <f t="shared" si="32"/>
        <v>153.66</v>
      </c>
      <c r="R138">
        <f t="shared" si="33"/>
        <v>162.84</v>
      </c>
      <c r="S138">
        <f t="shared" si="34"/>
        <v>176.69</v>
      </c>
      <c r="T138">
        <f t="shared" si="35"/>
        <v>23.03</v>
      </c>
    </row>
    <row r="139" spans="1:20" x14ac:dyDescent="0.25">
      <c r="A139" s="7">
        <v>45860</v>
      </c>
      <c r="B139">
        <v>167.93</v>
      </c>
      <c r="C139">
        <v>165</v>
      </c>
      <c r="D139">
        <v>168.05</v>
      </c>
      <c r="E139">
        <v>164.71</v>
      </c>
      <c r="F139">
        <v>9.2899999999999991</v>
      </c>
      <c r="G139">
        <v>2.17</v>
      </c>
      <c r="H139" s="9">
        <f t="shared" si="31"/>
        <v>9290000</v>
      </c>
      <c r="I139" s="1">
        <f t="shared" si="36"/>
        <v>162.24857142857144</v>
      </c>
      <c r="J139" s="1">
        <f t="shared" si="28"/>
        <v>157.34</v>
      </c>
      <c r="K139" s="1">
        <f t="shared" si="27"/>
        <v>154.84239999999997</v>
      </c>
      <c r="L139">
        <f t="shared" si="29"/>
        <v>3.3400000000000034</v>
      </c>
      <c r="M139" s="1">
        <f t="shared" si="25"/>
        <v>2.4214999999999991</v>
      </c>
      <c r="N139" s="2">
        <f t="shared" si="30"/>
        <v>0.16601860852659356</v>
      </c>
      <c r="O139">
        <f t="shared" si="22"/>
        <v>2.9749502888297072E-2</v>
      </c>
      <c r="P139" s="16">
        <f t="shared" si="26"/>
        <v>8642857.1428571437</v>
      </c>
      <c r="Q139">
        <f t="shared" si="32"/>
        <v>153.66</v>
      </c>
      <c r="R139">
        <f t="shared" si="33"/>
        <v>162.84</v>
      </c>
      <c r="S139">
        <f t="shared" si="34"/>
        <v>176.69</v>
      </c>
      <c r="T139">
        <f t="shared" si="35"/>
        <v>23.03</v>
      </c>
    </row>
    <row r="140" spans="1:20" x14ac:dyDescent="0.25">
      <c r="A140" s="7">
        <v>45861</v>
      </c>
      <c r="B140">
        <v>169.1</v>
      </c>
      <c r="C140">
        <v>168.6</v>
      </c>
      <c r="D140">
        <v>169.12</v>
      </c>
      <c r="E140">
        <v>166.59</v>
      </c>
      <c r="F140">
        <v>10.62</v>
      </c>
      <c r="G140">
        <v>0.7</v>
      </c>
      <c r="H140" s="9">
        <f t="shared" si="31"/>
        <v>10620000</v>
      </c>
      <c r="I140" s="1">
        <f t="shared" si="36"/>
        <v>164.0028571428571</v>
      </c>
      <c r="J140" s="1">
        <f t="shared" si="28"/>
        <v>158.18549999999999</v>
      </c>
      <c r="K140" s="1">
        <f t="shared" si="27"/>
        <v>155.13999999999996</v>
      </c>
      <c r="L140">
        <f t="shared" si="29"/>
        <v>2.5300000000000011</v>
      </c>
      <c r="M140" s="1">
        <f t="shared" si="25"/>
        <v>2.4609999999999985</v>
      </c>
      <c r="N140" s="2">
        <f t="shared" si="30"/>
        <v>0.17414248021108159</v>
      </c>
      <c r="O140">
        <f t="shared" si="22"/>
        <v>3.3599053065893815E-2</v>
      </c>
      <c r="P140" s="16">
        <f t="shared" si="26"/>
        <v>8796190.4761904757</v>
      </c>
      <c r="Q140">
        <f t="shared" si="32"/>
        <v>153.66</v>
      </c>
      <c r="R140">
        <f t="shared" si="33"/>
        <v>162.84</v>
      </c>
      <c r="S140">
        <f t="shared" si="34"/>
        <v>176.69</v>
      </c>
      <c r="T140">
        <f t="shared" si="35"/>
        <v>23.03</v>
      </c>
    </row>
    <row r="141" spans="1:20" x14ac:dyDescent="0.25">
      <c r="A141" s="7">
        <v>45862</v>
      </c>
      <c r="B141">
        <v>169.56</v>
      </c>
      <c r="C141">
        <v>169.5</v>
      </c>
      <c r="D141">
        <v>169.99</v>
      </c>
      <c r="E141">
        <v>168.88</v>
      </c>
      <c r="F141">
        <v>6.64</v>
      </c>
      <c r="G141">
        <v>0.27</v>
      </c>
      <c r="H141" s="9">
        <f t="shared" si="31"/>
        <v>6640000</v>
      </c>
      <c r="I141" s="1">
        <f t="shared" si="36"/>
        <v>166.05857142857144</v>
      </c>
      <c r="J141" s="1">
        <f t="shared" si="28"/>
        <v>159.04949999999999</v>
      </c>
      <c r="K141" s="1">
        <f t="shared" si="27"/>
        <v>155.44839999999996</v>
      </c>
      <c r="L141">
        <f t="shared" si="29"/>
        <v>1.1100000000000136</v>
      </c>
      <c r="M141" s="1">
        <f t="shared" si="25"/>
        <v>2.3994999999999989</v>
      </c>
      <c r="N141" s="2">
        <f t="shared" si="30"/>
        <v>0.17733648104429944</v>
      </c>
      <c r="O141">
        <f t="shared" si="22"/>
        <v>3.6402075692464911E-2</v>
      </c>
      <c r="P141" s="16">
        <f t="shared" si="26"/>
        <v>8658095.2380952388</v>
      </c>
      <c r="Q141">
        <f t="shared" si="32"/>
        <v>153.66</v>
      </c>
      <c r="R141">
        <f t="shared" si="33"/>
        <v>162.84</v>
      </c>
      <c r="S141">
        <f t="shared" si="34"/>
        <v>176.69</v>
      </c>
      <c r="T141">
        <f t="shared" si="35"/>
        <v>23.03</v>
      </c>
    </row>
    <row r="142" spans="1:20" x14ac:dyDescent="0.25">
      <c r="A142" s="7">
        <v>45863</v>
      </c>
      <c r="B142">
        <v>168.3</v>
      </c>
      <c r="C142">
        <v>169.75</v>
      </c>
      <c r="D142">
        <v>169.88</v>
      </c>
      <c r="E142">
        <v>167.44</v>
      </c>
      <c r="F142">
        <v>6.26</v>
      </c>
      <c r="G142">
        <v>-0.74</v>
      </c>
      <c r="H142" s="9">
        <f t="shared" si="31"/>
        <v>6260000</v>
      </c>
      <c r="I142" s="1">
        <f t="shared" si="36"/>
        <v>166.56142857142859</v>
      </c>
      <c r="J142" s="1">
        <f t="shared" si="28"/>
        <v>159.86399999999998</v>
      </c>
      <c r="K142" s="1">
        <f t="shared" si="27"/>
        <v>155.84559999999999</v>
      </c>
      <c r="L142">
        <f t="shared" si="29"/>
        <v>2.4399999999999977</v>
      </c>
      <c r="M142" s="1">
        <f t="shared" si="25"/>
        <v>2.4369999999999989</v>
      </c>
      <c r="N142" s="2">
        <f t="shared" si="30"/>
        <v>0.16858769615331193</v>
      </c>
      <c r="O142">
        <f t="shared" si="22"/>
        <v>3.6590449984042657E-2</v>
      </c>
      <c r="P142" s="16">
        <f t="shared" si="26"/>
        <v>8615714.2857142854</v>
      </c>
      <c r="Q142">
        <f t="shared" si="32"/>
        <v>153.66</v>
      </c>
      <c r="R142">
        <f t="shared" si="33"/>
        <v>162.84</v>
      </c>
      <c r="S142">
        <f t="shared" si="34"/>
        <v>176.69</v>
      </c>
      <c r="T142">
        <f t="shared" si="35"/>
        <v>23.03</v>
      </c>
    </row>
    <row r="143" spans="1:20" x14ac:dyDescent="0.25">
      <c r="A143" s="7">
        <v>45866</v>
      </c>
      <c r="B143">
        <v>166.22</v>
      </c>
      <c r="C143">
        <v>167.86</v>
      </c>
      <c r="D143">
        <v>167.94</v>
      </c>
      <c r="E143">
        <v>165.05</v>
      </c>
      <c r="F143">
        <v>8.01</v>
      </c>
      <c r="G143">
        <v>-1.24</v>
      </c>
      <c r="H143" s="9">
        <f t="shared" si="31"/>
        <v>8010000</v>
      </c>
      <c r="I143" s="1">
        <f t="shared" si="36"/>
        <v>167.02428571428572</v>
      </c>
      <c r="J143" s="1">
        <f t="shared" si="28"/>
        <v>160.55449999999999</v>
      </c>
      <c r="K143" s="1">
        <f t="shared" si="27"/>
        <v>156.24279999999999</v>
      </c>
      <c r="L143">
        <f t="shared" si="29"/>
        <v>2.8899999999999864</v>
      </c>
      <c r="M143" s="1">
        <f t="shared" si="25"/>
        <v>2.4654999999999974</v>
      </c>
      <c r="N143" s="2">
        <f t="shared" si="30"/>
        <v>0.1541452576031106</v>
      </c>
      <c r="O143">
        <f t="shared" si="22"/>
        <v>3.5123315701727116E-2</v>
      </c>
      <c r="P143" s="16">
        <f t="shared" si="26"/>
        <v>8656190.4761904757</v>
      </c>
      <c r="Q143">
        <f t="shared" si="32"/>
        <v>153.66</v>
      </c>
      <c r="R143">
        <f t="shared" si="33"/>
        <v>162.84</v>
      </c>
      <c r="S143">
        <f t="shared" si="34"/>
        <v>176.69</v>
      </c>
      <c r="T143">
        <f t="shared" si="35"/>
        <v>23.03</v>
      </c>
    </row>
    <row r="144" spans="1:20" x14ac:dyDescent="0.25">
      <c r="A144" s="7">
        <v>45867</v>
      </c>
      <c r="B144">
        <v>168.11</v>
      </c>
      <c r="C144">
        <v>166.67</v>
      </c>
      <c r="D144">
        <v>168.78</v>
      </c>
      <c r="E144">
        <v>166.37</v>
      </c>
      <c r="F144">
        <v>7.66</v>
      </c>
      <c r="G144">
        <v>1.1399999999999999</v>
      </c>
      <c r="H144" s="9">
        <f t="shared" si="31"/>
        <v>7660000</v>
      </c>
      <c r="I144" s="1">
        <f t="shared" si="36"/>
        <v>167.65428571428569</v>
      </c>
      <c r="J144" s="1">
        <f t="shared" si="28"/>
        <v>161.32249999999999</v>
      </c>
      <c r="K144" s="1">
        <f t="shared" si="27"/>
        <v>156.61279999999999</v>
      </c>
      <c r="L144">
        <f t="shared" si="29"/>
        <v>2.4099999999999966</v>
      </c>
      <c r="M144" s="1">
        <f t="shared" si="25"/>
        <v>2.5134999999999978</v>
      </c>
      <c r="N144" s="2">
        <f t="shared" si="30"/>
        <v>0.16726843493959165</v>
      </c>
      <c r="O144">
        <f t="shared" ref="O144:O207" si="37">_xlfn.STDEV.P(N131:N144)</f>
        <v>3.3859929096136325E-2</v>
      </c>
      <c r="P144" s="16">
        <f t="shared" si="26"/>
        <v>8544285.7142857146</v>
      </c>
      <c r="Q144">
        <f t="shared" si="32"/>
        <v>153.66</v>
      </c>
      <c r="R144">
        <f t="shared" si="33"/>
        <v>162.84</v>
      </c>
      <c r="S144">
        <f t="shared" si="34"/>
        <v>176.69</v>
      </c>
      <c r="T144">
        <f t="shared" si="35"/>
        <v>23.03</v>
      </c>
    </row>
    <row r="145" spans="1:20" x14ac:dyDescent="0.25">
      <c r="A145" s="7">
        <v>45868</v>
      </c>
      <c r="B145">
        <v>167.26</v>
      </c>
      <c r="C145">
        <v>167.7</v>
      </c>
      <c r="D145">
        <v>168.61</v>
      </c>
      <c r="E145">
        <v>166.78</v>
      </c>
      <c r="F145">
        <v>6.19</v>
      </c>
      <c r="G145">
        <v>-0.51</v>
      </c>
      <c r="H145" s="9">
        <f t="shared" si="31"/>
        <v>6190000</v>
      </c>
      <c r="I145" s="1">
        <f t="shared" si="36"/>
        <v>168.06857142857143</v>
      </c>
      <c r="J145" s="1">
        <f t="shared" si="28"/>
        <v>161.8895</v>
      </c>
      <c r="K145" s="1">
        <f t="shared" si="27"/>
        <v>156.93140000000002</v>
      </c>
      <c r="L145">
        <f t="shared" si="29"/>
        <v>1.8300000000000125</v>
      </c>
      <c r="M145" s="1">
        <f t="shared" si="25"/>
        <v>2.3579999999999983</v>
      </c>
      <c r="N145" s="2">
        <f t="shared" si="30"/>
        <v>0.16136647687821126</v>
      </c>
      <c r="O145">
        <f t="shared" si="37"/>
        <v>3.2312093145633387E-2</v>
      </c>
      <c r="P145" s="16">
        <f t="shared" si="26"/>
        <v>8408571.4285714291</v>
      </c>
      <c r="Q145">
        <f t="shared" si="32"/>
        <v>153.66</v>
      </c>
      <c r="R145">
        <f t="shared" si="33"/>
        <v>162.84</v>
      </c>
      <c r="S145">
        <f t="shared" si="34"/>
        <v>176.69</v>
      </c>
      <c r="T145">
        <f t="shared" si="35"/>
        <v>23.03</v>
      </c>
    </row>
    <row r="146" spans="1:20" x14ac:dyDescent="0.25">
      <c r="A146" s="7">
        <v>45869</v>
      </c>
      <c r="B146">
        <v>164.74</v>
      </c>
      <c r="C146">
        <v>165.93</v>
      </c>
      <c r="D146">
        <v>167.07</v>
      </c>
      <c r="E146">
        <v>164.23</v>
      </c>
      <c r="F146">
        <v>11.04</v>
      </c>
      <c r="G146">
        <v>-1.51</v>
      </c>
      <c r="H146" s="9">
        <f t="shared" si="31"/>
        <v>11040000</v>
      </c>
      <c r="I146" s="1">
        <f t="shared" si="36"/>
        <v>167.61285714285714</v>
      </c>
      <c r="J146" s="1">
        <f t="shared" si="28"/>
        <v>162.34849999999997</v>
      </c>
      <c r="K146" s="1">
        <f t="shared" si="27"/>
        <v>157.1764</v>
      </c>
      <c r="L146">
        <f t="shared" si="29"/>
        <v>2.8400000000000034</v>
      </c>
      <c r="M146" s="1">
        <f t="shared" si="25"/>
        <v>2.4384999999999977</v>
      </c>
      <c r="N146" s="2">
        <f t="shared" si="30"/>
        <v>0.14386890709623668</v>
      </c>
      <c r="O146">
        <f t="shared" si="37"/>
        <v>2.8934805358498822E-2</v>
      </c>
      <c r="P146" s="16">
        <f t="shared" si="26"/>
        <v>8415238.0952380951</v>
      </c>
      <c r="Q146">
        <f t="shared" si="32"/>
        <v>153.66</v>
      </c>
      <c r="R146">
        <f t="shared" si="33"/>
        <v>162.84</v>
      </c>
      <c r="S146">
        <f t="shared" si="34"/>
        <v>176.69</v>
      </c>
      <c r="T146">
        <f t="shared" si="35"/>
        <v>23.03</v>
      </c>
    </row>
    <row r="147" spans="1:20" x14ac:dyDescent="0.25">
      <c r="A147" s="7">
        <v>45870</v>
      </c>
      <c r="B147">
        <v>167.33</v>
      </c>
      <c r="C147">
        <v>165.48</v>
      </c>
      <c r="D147">
        <v>167.62</v>
      </c>
      <c r="E147">
        <v>164.79</v>
      </c>
      <c r="F147">
        <v>8.93</v>
      </c>
      <c r="G147">
        <v>1.57</v>
      </c>
      <c r="H147" s="9">
        <f t="shared" si="31"/>
        <v>8930000</v>
      </c>
      <c r="I147" s="1">
        <f t="shared" si="36"/>
        <v>167.35999999999999</v>
      </c>
      <c r="J147" s="1">
        <f t="shared" si="28"/>
        <v>162.9145</v>
      </c>
      <c r="K147" s="1">
        <f t="shared" si="27"/>
        <v>157.44979999999998</v>
      </c>
      <c r="L147">
        <f t="shared" si="29"/>
        <v>2.8300000000000125</v>
      </c>
      <c r="M147" s="1">
        <f t="shared" si="25"/>
        <v>2.509999999999998</v>
      </c>
      <c r="N147" s="2">
        <f t="shared" si="30"/>
        <v>0.16185252048326615</v>
      </c>
      <c r="O147">
        <f t="shared" si="37"/>
        <v>2.456290312015905E-2</v>
      </c>
      <c r="P147" s="16">
        <f t="shared" si="26"/>
        <v>8576666.666666666</v>
      </c>
      <c r="Q147">
        <f t="shared" si="32"/>
        <v>153.66</v>
      </c>
      <c r="R147">
        <f t="shared" si="33"/>
        <v>162.84</v>
      </c>
      <c r="S147">
        <f t="shared" si="34"/>
        <v>176.69</v>
      </c>
      <c r="T147">
        <f t="shared" si="35"/>
        <v>23.03</v>
      </c>
    </row>
    <row r="148" spans="1:20" x14ac:dyDescent="0.25">
      <c r="A148" s="7">
        <v>45873</v>
      </c>
      <c r="B148">
        <v>171.04</v>
      </c>
      <c r="C148">
        <v>167.03</v>
      </c>
      <c r="D148">
        <v>171.19</v>
      </c>
      <c r="E148">
        <v>166.64</v>
      </c>
      <c r="F148">
        <v>12.68</v>
      </c>
      <c r="G148">
        <v>2.2200000000000002</v>
      </c>
      <c r="H148" s="9">
        <f t="shared" si="31"/>
        <v>12680000</v>
      </c>
      <c r="I148" s="1">
        <f t="shared" si="36"/>
        <v>167.57142857142858</v>
      </c>
      <c r="J148" s="1">
        <f t="shared" si="28"/>
        <v>163.70300000000003</v>
      </c>
      <c r="K148" s="1">
        <f t="shared" ref="K148:K179" si="38">AVERAGE(B99:B148)</f>
        <v>157.80700000000002</v>
      </c>
      <c r="L148">
        <f t="shared" si="29"/>
        <v>4.5500000000000114</v>
      </c>
      <c r="M148" s="1">
        <f t="shared" si="25"/>
        <v>2.6644999999999981</v>
      </c>
      <c r="N148" s="2">
        <f t="shared" si="30"/>
        <v>0.18761283155117336</v>
      </c>
      <c r="O148">
        <f t="shared" si="37"/>
        <v>1.6117459974085684E-2</v>
      </c>
      <c r="P148" s="16">
        <f t="shared" si="26"/>
        <v>9014761.9047619049</v>
      </c>
      <c r="Q148">
        <f t="shared" si="32"/>
        <v>153.66</v>
      </c>
      <c r="R148">
        <f t="shared" si="33"/>
        <v>162.84</v>
      </c>
      <c r="S148">
        <f t="shared" si="34"/>
        <v>176.69</v>
      </c>
      <c r="T148">
        <f t="shared" si="35"/>
        <v>23.03</v>
      </c>
    </row>
    <row r="149" spans="1:20" x14ac:dyDescent="0.25">
      <c r="A149" s="7">
        <v>45874</v>
      </c>
      <c r="B149">
        <v>170.74</v>
      </c>
      <c r="C149">
        <v>170.54</v>
      </c>
      <c r="D149">
        <v>171.55</v>
      </c>
      <c r="E149">
        <v>169.65</v>
      </c>
      <c r="F149">
        <v>7.93</v>
      </c>
      <c r="G149">
        <v>-0.18</v>
      </c>
      <c r="H149" s="9">
        <f t="shared" si="31"/>
        <v>7930000</v>
      </c>
      <c r="I149" s="1">
        <f t="shared" si="36"/>
        <v>167.92000000000002</v>
      </c>
      <c r="J149" s="1">
        <f t="shared" si="28"/>
        <v>164.45049999999998</v>
      </c>
      <c r="K149" s="1">
        <f t="shared" si="38"/>
        <v>158.1696</v>
      </c>
      <c r="L149">
        <f t="shared" si="29"/>
        <v>1.9000000000000057</v>
      </c>
      <c r="M149" s="1">
        <f t="shared" si="25"/>
        <v>2.6319999999999992</v>
      </c>
      <c r="N149" s="2">
        <f t="shared" si="30"/>
        <v>0.18552978752950966</v>
      </c>
      <c r="O149">
        <f t="shared" si="37"/>
        <v>1.7024284122410735E-2</v>
      </c>
      <c r="P149" s="16">
        <f t="shared" si="26"/>
        <v>9093809.5238095243</v>
      </c>
      <c r="Q149">
        <f t="shared" si="32"/>
        <v>153.66</v>
      </c>
      <c r="R149">
        <f t="shared" si="33"/>
        <v>162.84</v>
      </c>
      <c r="S149">
        <f t="shared" si="34"/>
        <v>176.69</v>
      </c>
      <c r="T149">
        <f t="shared" si="35"/>
        <v>23.03</v>
      </c>
    </row>
    <row r="150" spans="1:20" x14ac:dyDescent="0.25">
      <c r="A150" s="7">
        <v>45875</v>
      </c>
      <c r="B150">
        <v>170.59</v>
      </c>
      <c r="C150">
        <v>169.91</v>
      </c>
      <c r="D150">
        <v>172.18</v>
      </c>
      <c r="E150">
        <v>169.68</v>
      </c>
      <c r="F150">
        <v>8.9600000000000009</v>
      </c>
      <c r="G150">
        <v>-0.09</v>
      </c>
      <c r="H150" s="9">
        <f t="shared" si="31"/>
        <v>8960000</v>
      </c>
      <c r="I150" s="1">
        <f t="shared" si="36"/>
        <v>168.54428571428571</v>
      </c>
      <c r="J150" s="1">
        <f t="shared" ref="J150:J181" si="39">AVERAGE(B131:B150)</f>
        <v>165.166</v>
      </c>
      <c r="K150" s="1">
        <f t="shared" si="38"/>
        <v>158.52259999999998</v>
      </c>
      <c r="L150">
        <f t="shared" si="29"/>
        <v>2.5</v>
      </c>
      <c r="M150" s="1">
        <f t="shared" si="25"/>
        <v>2.6759999999999993</v>
      </c>
      <c r="N150" s="2">
        <f t="shared" si="30"/>
        <v>0.18448826551867792</v>
      </c>
      <c r="O150">
        <f t="shared" si="37"/>
        <v>1.5864917840523907E-2</v>
      </c>
      <c r="P150" s="16">
        <f t="shared" si="26"/>
        <v>9213809.5238095243</v>
      </c>
      <c r="Q150">
        <f t="shared" si="32"/>
        <v>153.66</v>
      </c>
      <c r="R150">
        <f t="shared" si="33"/>
        <v>162.84</v>
      </c>
      <c r="S150">
        <f t="shared" si="34"/>
        <v>176.69</v>
      </c>
      <c r="T150">
        <f t="shared" si="35"/>
        <v>23.03</v>
      </c>
    </row>
    <row r="151" spans="1:20" x14ac:dyDescent="0.25">
      <c r="A151" s="7">
        <v>45876</v>
      </c>
      <c r="B151">
        <v>171.53</v>
      </c>
      <c r="C151">
        <v>171.17</v>
      </c>
      <c r="D151">
        <v>171.62</v>
      </c>
      <c r="E151">
        <v>169.92</v>
      </c>
      <c r="F151">
        <v>9.32</v>
      </c>
      <c r="G151">
        <v>0.55000000000000004</v>
      </c>
      <c r="H151" s="9">
        <f t="shared" si="31"/>
        <v>9320000</v>
      </c>
      <c r="I151" s="1">
        <f t="shared" si="36"/>
        <v>169.03285714285715</v>
      </c>
      <c r="J151" s="1">
        <f t="shared" si="39"/>
        <v>165.85799999999998</v>
      </c>
      <c r="K151" s="1">
        <f t="shared" si="38"/>
        <v>158.88819999999998</v>
      </c>
      <c r="L151">
        <f t="shared" si="29"/>
        <v>1.7000000000000171</v>
      </c>
      <c r="M151" s="1">
        <f t="shared" ref="M151:M214" si="40">AVERAGE(L132:L151)</f>
        <v>2.589999999999999</v>
      </c>
      <c r="N151" s="2">
        <f t="shared" si="30"/>
        <v>0.19101513678655735</v>
      </c>
      <c r="O151">
        <f t="shared" si="37"/>
        <v>1.5082625320117267E-2</v>
      </c>
      <c r="P151" s="16">
        <f t="shared" ref="P151:P214" si="41">AVERAGE(H131:H151)</f>
        <v>9364761.9047619049</v>
      </c>
      <c r="Q151">
        <f t="shared" si="32"/>
        <v>153.66</v>
      </c>
      <c r="R151">
        <f t="shared" si="33"/>
        <v>162.84</v>
      </c>
      <c r="S151">
        <f t="shared" si="34"/>
        <v>176.69</v>
      </c>
      <c r="T151">
        <f t="shared" si="35"/>
        <v>23.03</v>
      </c>
    </row>
    <row r="152" spans="1:20" x14ac:dyDescent="0.25">
      <c r="A152" s="7">
        <v>45877</v>
      </c>
      <c r="B152">
        <v>173.33</v>
      </c>
      <c r="C152">
        <v>171.02</v>
      </c>
      <c r="D152">
        <v>173.96</v>
      </c>
      <c r="E152">
        <v>170.39</v>
      </c>
      <c r="F152">
        <v>7.69</v>
      </c>
      <c r="G152">
        <v>1.05</v>
      </c>
      <c r="H152" s="9">
        <f t="shared" si="31"/>
        <v>7690000</v>
      </c>
      <c r="I152" s="1">
        <f t="shared" si="36"/>
        <v>169.9</v>
      </c>
      <c r="J152" s="1">
        <f t="shared" si="39"/>
        <v>166.67949999999999</v>
      </c>
      <c r="K152" s="1">
        <f t="shared" si="38"/>
        <v>159.30619999999996</v>
      </c>
      <c r="L152">
        <f t="shared" si="29"/>
        <v>3.5700000000000216</v>
      </c>
      <c r="M152" s="1">
        <f t="shared" si="40"/>
        <v>2.6685000000000003</v>
      </c>
      <c r="N152" s="2">
        <f t="shared" si="30"/>
        <v>0.20351340091653936</v>
      </c>
      <c r="O152">
        <f t="shared" si="37"/>
        <v>1.5449019458307258E-2</v>
      </c>
      <c r="P152" s="16">
        <f t="shared" si="41"/>
        <v>9410476.1904761903</v>
      </c>
      <c r="Q152">
        <f t="shared" si="32"/>
        <v>153.66</v>
      </c>
      <c r="R152">
        <f t="shared" si="33"/>
        <v>162.84</v>
      </c>
      <c r="S152">
        <f t="shared" si="34"/>
        <v>176.69</v>
      </c>
      <c r="T152">
        <f t="shared" si="35"/>
        <v>23.03</v>
      </c>
    </row>
    <row r="153" spans="1:20" x14ac:dyDescent="0.25">
      <c r="A153" s="7">
        <v>45880</v>
      </c>
      <c r="B153">
        <v>173.82</v>
      </c>
      <c r="C153">
        <v>173.4</v>
      </c>
      <c r="D153">
        <v>174.6</v>
      </c>
      <c r="E153">
        <v>173.05</v>
      </c>
      <c r="F153">
        <v>7.26</v>
      </c>
      <c r="G153">
        <v>0.28000000000000003</v>
      </c>
      <c r="H153" s="9">
        <f t="shared" si="31"/>
        <v>7260000</v>
      </c>
      <c r="I153" s="1">
        <f t="shared" si="36"/>
        <v>171.19714285714284</v>
      </c>
      <c r="J153" s="1">
        <f t="shared" si="39"/>
        <v>167.52950000000001</v>
      </c>
      <c r="K153" s="1">
        <f t="shared" si="38"/>
        <v>159.71099999999996</v>
      </c>
      <c r="L153">
        <f t="shared" si="29"/>
        <v>1.5499999999999829</v>
      </c>
      <c r="M153" s="1">
        <f t="shared" si="40"/>
        <v>2.6484999999999999</v>
      </c>
      <c r="N153" s="2">
        <f t="shared" si="30"/>
        <v>0.20691570615192312</v>
      </c>
      <c r="O153">
        <f t="shared" si="37"/>
        <v>1.7516822033839252E-2</v>
      </c>
      <c r="P153" s="16">
        <f t="shared" si="41"/>
        <v>9381428.5714285709</v>
      </c>
      <c r="Q153">
        <f t="shared" si="32"/>
        <v>153.66</v>
      </c>
      <c r="R153">
        <f t="shared" si="33"/>
        <v>162.84</v>
      </c>
      <c r="S153">
        <f t="shared" si="34"/>
        <v>176.69</v>
      </c>
      <c r="T153">
        <f t="shared" si="35"/>
        <v>23.03</v>
      </c>
    </row>
    <row r="154" spans="1:20" x14ac:dyDescent="0.25">
      <c r="A154" s="7">
        <v>45881</v>
      </c>
      <c r="B154">
        <v>172.78</v>
      </c>
      <c r="C154">
        <v>173.99</v>
      </c>
      <c r="D154">
        <v>174.76</v>
      </c>
      <c r="E154">
        <v>171.81</v>
      </c>
      <c r="F154">
        <v>7.92</v>
      </c>
      <c r="G154">
        <v>-0.6</v>
      </c>
      <c r="H154" s="9">
        <f t="shared" si="31"/>
        <v>7920000</v>
      </c>
      <c r="I154" s="1">
        <f t="shared" si="36"/>
        <v>171.97571428571428</v>
      </c>
      <c r="J154" s="1">
        <f t="shared" si="39"/>
        <v>168.41000000000003</v>
      </c>
      <c r="K154" s="1">
        <f t="shared" si="38"/>
        <v>160.06239999999997</v>
      </c>
      <c r="L154">
        <f t="shared" si="29"/>
        <v>2.9499999999999886</v>
      </c>
      <c r="M154" s="1">
        <f t="shared" si="40"/>
        <v>2.6764999999999999</v>
      </c>
      <c r="N154" s="2">
        <f t="shared" si="30"/>
        <v>0.19969448687682267</v>
      </c>
      <c r="O154">
        <f t="shared" si="37"/>
        <v>1.8504419588684509E-2</v>
      </c>
      <c r="P154" s="16">
        <f t="shared" si="41"/>
        <v>9273333.333333334</v>
      </c>
      <c r="Q154">
        <f t="shared" si="32"/>
        <v>153.66</v>
      </c>
      <c r="R154">
        <f t="shared" si="33"/>
        <v>162.84</v>
      </c>
      <c r="S154">
        <f t="shared" si="34"/>
        <v>176.69</v>
      </c>
      <c r="T154">
        <f t="shared" si="35"/>
        <v>23.03</v>
      </c>
    </row>
    <row r="155" spans="1:20" x14ac:dyDescent="0.25">
      <c r="A155" s="7">
        <v>45882</v>
      </c>
      <c r="B155">
        <v>174.42</v>
      </c>
      <c r="C155">
        <v>173</v>
      </c>
      <c r="D155">
        <v>174.54</v>
      </c>
      <c r="E155">
        <v>172.7</v>
      </c>
      <c r="F155">
        <v>5.88</v>
      </c>
      <c r="G155">
        <v>0.95</v>
      </c>
      <c r="H155" s="9">
        <f t="shared" si="31"/>
        <v>5880000</v>
      </c>
      <c r="I155" s="1">
        <f t="shared" si="36"/>
        <v>172.45857142857145</v>
      </c>
      <c r="J155" s="1">
        <f t="shared" si="39"/>
        <v>168.89200000000002</v>
      </c>
      <c r="K155" s="1">
        <f t="shared" si="38"/>
        <v>160.44279999999998</v>
      </c>
      <c r="L155">
        <f t="shared" si="29"/>
        <v>1.8400000000000034</v>
      </c>
      <c r="M155" s="1">
        <f t="shared" si="40"/>
        <v>2.4525000000000006</v>
      </c>
      <c r="N155" s="2">
        <f t="shared" si="30"/>
        <v>0.21108179419525053</v>
      </c>
      <c r="O155">
        <f t="shared" si="37"/>
        <v>2.0355155145403842E-2</v>
      </c>
      <c r="P155" s="16">
        <f t="shared" si="41"/>
        <v>9226190.4761904757</v>
      </c>
      <c r="Q155">
        <f t="shared" si="32"/>
        <v>153.66</v>
      </c>
      <c r="R155">
        <f t="shared" si="33"/>
        <v>162.84</v>
      </c>
      <c r="S155">
        <f t="shared" si="34"/>
        <v>176.69</v>
      </c>
      <c r="T155">
        <f t="shared" si="35"/>
        <v>23.03</v>
      </c>
    </row>
    <row r="156" spans="1:20" x14ac:dyDescent="0.25">
      <c r="A156" s="7">
        <v>45883</v>
      </c>
      <c r="B156">
        <v>174.72</v>
      </c>
      <c r="C156">
        <v>174.31</v>
      </c>
      <c r="D156">
        <v>175.72</v>
      </c>
      <c r="E156">
        <v>172.72</v>
      </c>
      <c r="F156">
        <v>8.24</v>
      </c>
      <c r="G156">
        <v>0.17</v>
      </c>
      <c r="H156" s="9">
        <f t="shared" si="31"/>
        <v>8240000</v>
      </c>
      <c r="I156" s="1">
        <f t="shared" si="36"/>
        <v>173.02714285714288</v>
      </c>
      <c r="J156" s="1">
        <f t="shared" si="39"/>
        <v>169.47900000000004</v>
      </c>
      <c r="K156" s="1">
        <f t="shared" si="38"/>
        <v>160.84879999999998</v>
      </c>
      <c r="L156">
        <f t="shared" si="29"/>
        <v>3</v>
      </c>
      <c r="M156" s="1">
        <f t="shared" si="40"/>
        <v>2.4825000000000017</v>
      </c>
      <c r="N156" s="2">
        <f t="shared" si="30"/>
        <v>0.21316483821691423</v>
      </c>
      <c r="O156">
        <f t="shared" si="37"/>
        <v>2.1686371304449972E-2</v>
      </c>
      <c r="P156" s="16">
        <f t="shared" si="41"/>
        <v>8564761.9047619049</v>
      </c>
      <c r="Q156">
        <f t="shared" si="32"/>
        <v>153.66</v>
      </c>
      <c r="R156">
        <f t="shared" si="33"/>
        <v>162.84</v>
      </c>
      <c r="S156">
        <f t="shared" si="34"/>
        <v>176.69</v>
      </c>
      <c r="T156">
        <f t="shared" si="35"/>
        <v>23.03</v>
      </c>
    </row>
    <row r="157" spans="1:20" x14ac:dyDescent="0.25">
      <c r="A157" s="7">
        <v>45884</v>
      </c>
      <c r="B157">
        <v>176.64</v>
      </c>
      <c r="C157">
        <v>175.57</v>
      </c>
      <c r="D157">
        <v>177.26</v>
      </c>
      <c r="E157">
        <v>174.96</v>
      </c>
      <c r="F157">
        <v>9.48</v>
      </c>
      <c r="G157">
        <v>1.1000000000000001</v>
      </c>
      <c r="H157" s="9">
        <f t="shared" si="31"/>
        <v>9480000</v>
      </c>
      <c r="I157" s="1">
        <f t="shared" si="36"/>
        <v>173.89142857142855</v>
      </c>
      <c r="J157" s="1">
        <f t="shared" si="39"/>
        <v>170.126</v>
      </c>
      <c r="K157" s="1">
        <f t="shared" si="38"/>
        <v>161.31719999999999</v>
      </c>
      <c r="L157">
        <f t="shared" si="29"/>
        <v>2.2999999999999829</v>
      </c>
      <c r="M157" s="1">
        <f t="shared" si="40"/>
        <v>2.5105000000000017</v>
      </c>
      <c r="N157" s="2">
        <f t="shared" si="30"/>
        <v>0.22649631995556163</v>
      </c>
      <c r="O157">
        <f t="shared" si="37"/>
        <v>2.2632522242735102E-2</v>
      </c>
      <c r="P157" s="16">
        <f t="shared" si="41"/>
        <v>8478095.2380952388</v>
      </c>
      <c r="Q157">
        <f t="shared" si="32"/>
        <v>153.66</v>
      </c>
      <c r="R157">
        <f t="shared" si="33"/>
        <v>162.84</v>
      </c>
      <c r="S157">
        <f t="shared" si="34"/>
        <v>176.69</v>
      </c>
      <c r="T157">
        <f t="shared" si="35"/>
        <v>23.03</v>
      </c>
    </row>
    <row r="158" spans="1:20" x14ac:dyDescent="0.25">
      <c r="A158" s="7">
        <v>45887</v>
      </c>
      <c r="B158">
        <v>176.25</v>
      </c>
      <c r="C158">
        <v>176.5</v>
      </c>
      <c r="D158">
        <v>177.57</v>
      </c>
      <c r="E158">
        <v>176.1</v>
      </c>
      <c r="F158">
        <v>9.2799999999999994</v>
      </c>
      <c r="G158">
        <v>-0.22</v>
      </c>
      <c r="H158" s="9">
        <f t="shared" si="31"/>
        <v>9280000</v>
      </c>
      <c r="I158" s="1">
        <f t="shared" si="36"/>
        <v>174.56571428571428</v>
      </c>
      <c r="J158" s="1">
        <f t="shared" si="39"/>
        <v>170.72049999999999</v>
      </c>
      <c r="K158" s="1">
        <f t="shared" si="38"/>
        <v>161.76900000000001</v>
      </c>
      <c r="L158">
        <f t="shared" si="29"/>
        <v>1.4699999999999989</v>
      </c>
      <c r="M158" s="1">
        <f t="shared" si="40"/>
        <v>2.4775000000000018</v>
      </c>
      <c r="N158" s="2">
        <f t="shared" si="30"/>
        <v>0.22378836272739888</v>
      </c>
      <c r="O158">
        <f t="shared" si="37"/>
        <v>2.3449386900314399E-2</v>
      </c>
      <c r="P158" s="16">
        <f t="shared" si="41"/>
        <v>8453809.5238095243</v>
      </c>
      <c r="Q158">
        <f t="shared" si="32"/>
        <v>153.66</v>
      </c>
      <c r="R158">
        <f t="shared" si="33"/>
        <v>162.84</v>
      </c>
      <c r="S158">
        <f t="shared" si="34"/>
        <v>176.69</v>
      </c>
      <c r="T158">
        <f t="shared" si="35"/>
        <v>23.03</v>
      </c>
    </row>
    <row r="159" spans="1:20" x14ac:dyDescent="0.25">
      <c r="A159" s="7">
        <v>45888</v>
      </c>
      <c r="B159">
        <v>177.8</v>
      </c>
      <c r="C159">
        <v>176.04</v>
      </c>
      <c r="D159">
        <v>178.18</v>
      </c>
      <c r="E159">
        <v>175.98</v>
      </c>
      <c r="F159">
        <v>9.27</v>
      </c>
      <c r="G159">
        <v>0.88</v>
      </c>
      <c r="H159" s="9">
        <f t="shared" si="31"/>
        <v>9270000</v>
      </c>
      <c r="I159" s="1">
        <f t="shared" si="36"/>
        <v>175.20428571428573</v>
      </c>
      <c r="J159" s="1">
        <f t="shared" si="39"/>
        <v>171.214</v>
      </c>
      <c r="K159" s="1">
        <f t="shared" si="38"/>
        <v>162.2244</v>
      </c>
      <c r="L159">
        <f t="shared" si="29"/>
        <v>2.2000000000000171</v>
      </c>
      <c r="M159" s="1">
        <f t="shared" si="40"/>
        <v>2.4205000000000028</v>
      </c>
      <c r="N159" s="2">
        <f t="shared" si="30"/>
        <v>0.23455075683932791</v>
      </c>
      <c r="O159">
        <f t="shared" si="37"/>
        <v>2.3991509746547495E-2</v>
      </c>
      <c r="P159" s="16">
        <f t="shared" si="41"/>
        <v>8502380.9523809515</v>
      </c>
      <c r="Q159">
        <f t="shared" si="32"/>
        <v>153.66</v>
      </c>
      <c r="R159">
        <f t="shared" si="33"/>
        <v>162.84</v>
      </c>
      <c r="S159">
        <f t="shared" si="34"/>
        <v>176.69</v>
      </c>
      <c r="T159">
        <f t="shared" si="35"/>
        <v>23.03</v>
      </c>
    </row>
    <row r="160" spans="1:20" x14ac:dyDescent="0.25">
      <c r="A160" s="7">
        <v>45889</v>
      </c>
      <c r="B160">
        <v>178.84</v>
      </c>
      <c r="C160">
        <v>178.5</v>
      </c>
      <c r="D160">
        <v>180.61</v>
      </c>
      <c r="E160">
        <v>178</v>
      </c>
      <c r="F160">
        <v>9.0299999999999994</v>
      </c>
      <c r="G160">
        <v>0.57999999999999996</v>
      </c>
      <c r="H160" s="9">
        <f t="shared" si="31"/>
        <v>9030000</v>
      </c>
      <c r="I160" s="1">
        <f t="shared" si="36"/>
        <v>175.92142857142855</v>
      </c>
      <c r="J160" s="1">
        <f t="shared" si="39"/>
        <v>171.70099999999999</v>
      </c>
      <c r="K160" s="1">
        <f t="shared" si="38"/>
        <v>162.69660000000005</v>
      </c>
      <c r="L160">
        <f t="shared" si="29"/>
        <v>2.6100000000000136</v>
      </c>
      <c r="M160" s="1">
        <f t="shared" si="40"/>
        <v>2.4245000000000032</v>
      </c>
      <c r="N160" s="2">
        <f t="shared" si="30"/>
        <v>0.24177197611442858</v>
      </c>
      <c r="O160">
        <f t="shared" si="37"/>
        <v>2.127617844819522E-2</v>
      </c>
      <c r="P160" s="16">
        <f t="shared" si="41"/>
        <v>8490000</v>
      </c>
      <c r="Q160">
        <f t="shared" si="32"/>
        <v>153.66</v>
      </c>
      <c r="R160">
        <f t="shared" si="33"/>
        <v>162.84</v>
      </c>
      <c r="S160">
        <f t="shared" si="34"/>
        <v>176.69</v>
      </c>
      <c r="T160">
        <f t="shared" si="35"/>
        <v>23.03</v>
      </c>
    </row>
    <row r="161" spans="1:20" x14ac:dyDescent="0.25">
      <c r="A161" s="7">
        <v>45890</v>
      </c>
      <c r="B161">
        <v>178.93</v>
      </c>
      <c r="C161">
        <v>178.55</v>
      </c>
      <c r="D161">
        <v>180.08</v>
      </c>
      <c r="E161">
        <v>178.16</v>
      </c>
      <c r="F161">
        <v>8.86</v>
      </c>
      <c r="G161">
        <v>0.05</v>
      </c>
      <c r="H161" s="9">
        <f t="shared" si="31"/>
        <v>8860000</v>
      </c>
      <c r="I161" s="1">
        <f t="shared" si="36"/>
        <v>176.79999999999998</v>
      </c>
      <c r="J161" s="1">
        <f t="shared" si="39"/>
        <v>172.1695</v>
      </c>
      <c r="K161" s="1">
        <f t="shared" si="38"/>
        <v>163.14620000000005</v>
      </c>
      <c r="L161">
        <f t="shared" si="29"/>
        <v>1.9200000000000159</v>
      </c>
      <c r="M161" s="1">
        <f t="shared" si="40"/>
        <v>2.4650000000000034</v>
      </c>
      <c r="N161" s="2">
        <f t="shared" si="30"/>
        <v>0.24239688932092762</v>
      </c>
      <c r="O161">
        <f t="shared" si="37"/>
        <v>1.9628536551116849E-2</v>
      </c>
      <c r="P161" s="16">
        <f t="shared" si="41"/>
        <v>8406190.4761904757</v>
      </c>
      <c r="Q161">
        <f t="shared" si="32"/>
        <v>153.66</v>
      </c>
      <c r="R161">
        <f t="shared" si="33"/>
        <v>162.84</v>
      </c>
      <c r="S161">
        <f t="shared" si="34"/>
        <v>176.69</v>
      </c>
      <c r="T161">
        <f t="shared" si="35"/>
        <v>23.03</v>
      </c>
    </row>
    <row r="162" spans="1:20" x14ac:dyDescent="0.25">
      <c r="A162" s="7">
        <v>45891</v>
      </c>
      <c r="B162">
        <v>179.29</v>
      </c>
      <c r="C162">
        <v>180.04</v>
      </c>
      <c r="D162">
        <v>181.16</v>
      </c>
      <c r="E162">
        <v>177.47</v>
      </c>
      <c r="F162">
        <v>9.52</v>
      </c>
      <c r="G162">
        <v>0.2</v>
      </c>
      <c r="H162" s="9">
        <f t="shared" si="31"/>
        <v>9520000</v>
      </c>
      <c r="I162" s="1">
        <f t="shared" si="36"/>
        <v>177.49571428571429</v>
      </c>
      <c r="J162" s="1">
        <f t="shared" si="39"/>
        <v>172.71899999999999</v>
      </c>
      <c r="K162" s="1">
        <f t="shared" si="38"/>
        <v>163.62680000000003</v>
      </c>
      <c r="L162">
        <f t="shared" si="29"/>
        <v>3.6899999999999977</v>
      </c>
      <c r="M162" s="1">
        <f t="shared" si="40"/>
        <v>2.5275000000000034</v>
      </c>
      <c r="N162" s="2">
        <f t="shared" si="30"/>
        <v>0.2448965421469238</v>
      </c>
      <c r="O162">
        <f t="shared" si="37"/>
        <v>2.0314912489384555E-2</v>
      </c>
      <c r="P162" s="16">
        <f t="shared" si="41"/>
        <v>8543333.333333334</v>
      </c>
      <c r="Q162">
        <f t="shared" si="32"/>
        <v>153.66</v>
      </c>
      <c r="R162">
        <f t="shared" si="33"/>
        <v>162.84</v>
      </c>
      <c r="S162">
        <f t="shared" si="34"/>
        <v>176.69</v>
      </c>
      <c r="T162">
        <f t="shared" si="35"/>
        <v>23.03</v>
      </c>
    </row>
    <row r="163" spans="1:20" x14ac:dyDescent="0.25">
      <c r="A163" s="7">
        <v>45894</v>
      </c>
      <c r="B163">
        <v>178.41</v>
      </c>
      <c r="C163">
        <v>179.52</v>
      </c>
      <c r="D163">
        <v>180.26</v>
      </c>
      <c r="E163">
        <v>178.29</v>
      </c>
      <c r="F163">
        <v>6.23</v>
      </c>
      <c r="G163">
        <v>-0.49</v>
      </c>
      <c r="H163" s="9">
        <f t="shared" si="31"/>
        <v>6230000</v>
      </c>
      <c r="I163" s="1">
        <f t="shared" si="36"/>
        <v>178.02285714285716</v>
      </c>
      <c r="J163" s="1">
        <f t="shared" si="39"/>
        <v>173.32849999999999</v>
      </c>
      <c r="K163" s="1">
        <f t="shared" si="38"/>
        <v>164.06180000000003</v>
      </c>
      <c r="L163">
        <f t="shared" si="29"/>
        <v>1.9699999999999989</v>
      </c>
      <c r="M163" s="1">
        <f t="shared" si="40"/>
        <v>2.481500000000004</v>
      </c>
      <c r="N163" s="2">
        <f t="shared" si="30"/>
        <v>0.23878627968337729</v>
      </c>
      <c r="O163">
        <f t="shared" si="37"/>
        <v>1.9416003516740075E-2</v>
      </c>
      <c r="P163" s="16">
        <f t="shared" si="41"/>
        <v>8541904.7619047612</v>
      </c>
      <c r="Q163">
        <f t="shared" si="32"/>
        <v>153.66</v>
      </c>
      <c r="R163">
        <f t="shared" si="33"/>
        <v>162.84</v>
      </c>
      <c r="S163">
        <f t="shared" si="34"/>
        <v>176.69</v>
      </c>
      <c r="T163">
        <f t="shared" si="35"/>
        <v>23.03</v>
      </c>
    </row>
    <row r="164" spans="1:20" x14ac:dyDescent="0.25">
      <c r="A164" s="7">
        <v>45895</v>
      </c>
      <c r="B164">
        <v>176.49</v>
      </c>
      <c r="C164">
        <v>176.74</v>
      </c>
      <c r="D164">
        <v>177.16</v>
      </c>
      <c r="E164">
        <v>175.77</v>
      </c>
      <c r="F164">
        <v>9.15</v>
      </c>
      <c r="G164">
        <v>-1.08</v>
      </c>
      <c r="H164" s="9">
        <f t="shared" si="31"/>
        <v>9150000</v>
      </c>
      <c r="I164" s="1">
        <f t="shared" si="36"/>
        <v>178.00142857142856</v>
      </c>
      <c r="J164" s="1">
        <f t="shared" si="39"/>
        <v>173.7475</v>
      </c>
      <c r="K164" s="1">
        <f t="shared" si="38"/>
        <v>164.44960000000003</v>
      </c>
      <c r="L164">
        <f t="shared" si="29"/>
        <v>1.3899999999999864</v>
      </c>
      <c r="M164" s="1">
        <f t="shared" si="40"/>
        <v>2.4305000000000034</v>
      </c>
      <c r="N164" s="2">
        <f t="shared" si="30"/>
        <v>0.22545479794472989</v>
      </c>
      <c r="O164">
        <f t="shared" si="37"/>
        <v>1.6963392338014395E-2</v>
      </c>
      <c r="P164" s="16">
        <f t="shared" si="41"/>
        <v>8596190.4761904757</v>
      </c>
      <c r="Q164">
        <f t="shared" si="32"/>
        <v>153.66</v>
      </c>
      <c r="R164">
        <f t="shared" si="33"/>
        <v>162.84</v>
      </c>
      <c r="S164">
        <f t="shared" si="34"/>
        <v>176.69</v>
      </c>
      <c r="T164">
        <f t="shared" si="35"/>
        <v>23.03</v>
      </c>
    </row>
    <row r="165" spans="1:20" x14ac:dyDescent="0.25">
      <c r="A165" s="7">
        <v>45896</v>
      </c>
      <c r="B165">
        <v>176.79</v>
      </c>
      <c r="C165">
        <v>176.97</v>
      </c>
      <c r="D165">
        <v>177.69</v>
      </c>
      <c r="E165">
        <v>176.16</v>
      </c>
      <c r="F165">
        <v>5.95</v>
      </c>
      <c r="G165">
        <v>0.17</v>
      </c>
      <c r="H165" s="9">
        <f t="shared" si="31"/>
        <v>5950000</v>
      </c>
      <c r="I165" s="1">
        <f t="shared" si="36"/>
        <v>178.07857142857139</v>
      </c>
      <c r="J165" s="1">
        <f t="shared" si="39"/>
        <v>174.22399999999999</v>
      </c>
      <c r="K165" s="1">
        <f t="shared" si="38"/>
        <v>164.88100000000003</v>
      </c>
      <c r="L165">
        <f t="shared" si="29"/>
        <v>1.5300000000000011</v>
      </c>
      <c r="M165" s="1">
        <f t="shared" si="40"/>
        <v>2.4155000000000029</v>
      </c>
      <c r="N165" s="2">
        <f t="shared" si="30"/>
        <v>0.22753784196639337</v>
      </c>
      <c r="O165">
        <f t="shared" si="37"/>
        <v>1.4704850570178139E-2</v>
      </c>
      <c r="P165" s="16">
        <f t="shared" si="41"/>
        <v>8514761.9047619049</v>
      </c>
      <c r="Q165">
        <f t="shared" si="32"/>
        <v>153.66</v>
      </c>
      <c r="R165">
        <f t="shared" si="33"/>
        <v>162.84</v>
      </c>
      <c r="S165">
        <f t="shared" si="34"/>
        <v>176.69</v>
      </c>
      <c r="T165">
        <f t="shared" si="35"/>
        <v>23.03</v>
      </c>
    </row>
    <row r="166" spans="1:20" x14ac:dyDescent="0.25">
      <c r="A166" s="7">
        <v>45897</v>
      </c>
      <c r="B166">
        <v>175.45</v>
      </c>
      <c r="C166">
        <v>176.37</v>
      </c>
      <c r="D166">
        <v>176.49</v>
      </c>
      <c r="E166">
        <v>174.63</v>
      </c>
      <c r="F166">
        <v>6.42</v>
      </c>
      <c r="G166">
        <v>-0.76</v>
      </c>
      <c r="H166" s="9">
        <f t="shared" si="31"/>
        <v>6420000</v>
      </c>
      <c r="I166" s="1">
        <f t="shared" si="36"/>
        <v>177.74285714285716</v>
      </c>
      <c r="J166" s="1">
        <f t="shared" si="39"/>
        <v>174.75949999999997</v>
      </c>
      <c r="K166" s="1">
        <f t="shared" si="38"/>
        <v>165.34240000000003</v>
      </c>
      <c r="L166">
        <f t="shared" si="29"/>
        <v>1.8600000000000136</v>
      </c>
      <c r="M166" s="1">
        <f t="shared" si="40"/>
        <v>2.3665000000000034</v>
      </c>
      <c r="N166" s="2">
        <f t="shared" si="30"/>
        <v>0.218233578669629</v>
      </c>
      <c r="O166">
        <f t="shared" si="37"/>
        <v>1.3671695565754816E-2</v>
      </c>
      <c r="P166" s="16">
        <f t="shared" si="41"/>
        <v>8525714.2857142854</v>
      </c>
      <c r="Q166">
        <f t="shared" si="32"/>
        <v>153.66</v>
      </c>
      <c r="R166">
        <f t="shared" si="33"/>
        <v>162.84</v>
      </c>
      <c r="S166">
        <f t="shared" si="34"/>
        <v>176.69</v>
      </c>
      <c r="T166">
        <f t="shared" si="35"/>
        <v>23.03</v>
      </c>
    </row>
    <row r="167" spans="1:20" x14ac:dyDescent="0.25">
      <c r="A167" s="7">
        <v>45898</v>
      </c>
      <c r="B167">
        <v>177.17</v>
      </c>
      <c r="C167">
        <v>175.96</v>
      </c>
      <c r="D167">
        <v>177.4</v>
      </c>
      <c r="E167">
        <v>175.45</v>
      </c>
      <c r="F167">
        <v>6.94</v>
      </c>
      <c r="G167">
        <v>0.98</v>
      </c>
      <c r="H167" s="9">
        <f t="shared" si="31"/>
        <v>6940000</v>
      </c>
      <c r="I167" s="1">
        <f t="shared" si="36"/>
        <v>177.50428571428571</v>
      </c>
      <c r="J167" s="1">
        <f t="shared" si="39"/>
        <v>175.25149999999999</v>
      </c>
      <c r="K167" s="1">
        <f t="shared" si="38"/>
        <v>165.87119999999999</v>
      </c>
      <c r="L167">
        <f t="shared" si="29"/>
        <v>1.9500000000000171</v>
      </c>
      <c r="M167" s="1">
        <f t="shared" si="40"/>
        <v>2.3225000000000038</v>
      </c>
      <c r="N167" s="2">
        <f t="shared" si="30"/>
        <v>0.23017636439383393</v>
      </c>
      <c r="O167">
        <f t="shared" si="37"/>
        <v>1.2711267888871561E-2</v>
      </c>
      <c r="P167" s="16">
        <f t="shared" si="41"/>
        <v>8330476.1904761903</v>
      </c>
      <c r="Q167">
        <f t="shared" si="32"/>
        <v>153.66</v>
      </c>
      <c r="R167">
        <f t="shared" si="33"/>
        <v>162.84</v>
      </c>
      <c r="S167">
        <f t="shared" si="34"/>
        <v>176.69</v>
      </c>
      <c r="T167">
        <f t="shared" si="35"/>
        <v>23.03</v>
      </c>
    </row>
    <row r="168" spans="1:20" x14ac:dyDescent="0.25">
      <c r="A168" s="7">
        <v>45902</v>
      </c>
      <c r="B168">
        <v>178.06</v>
      </c>
      <c r="C168">
        <v>177.47</v>
      </c>
      <c r="D168">
        <v>179.2</v>
      </c>
      <c r="E168">
        <v>176.89</v>
      </c>
      <c r="F168">
        <v>9.0500000000000007</v>
      </c>
      <c r="G168">
        <v>0.5</v>
      </c>
      <c r="H168" s="9">
        <f t="shared" si="31"/>
        <v>9050000</v>
      </c>
      <c r="I168" s="1">
        <f t="shared" si="36"/>
        <v>177.38000000000002</v>
      </c>
      <c r="J168" s="1">
        <f t="shared" si="39"/>
        <v>175.60249999999999</v>
      </c>
      <c r="K168" s="1">
        <f t="shared" si="38"/>
        <v>166.4366</v>
      </c>
      <c r="L168">
        <f t="shared" si="29"/>
        <v>2.3100000000000023</v>
      </c>
      <c r="M168" s="1">
        <f t="shared" si="40"/>
        <v>2.2105000000000032</v>
      </c>
      <c r="N168" s="2">
        <f t="shared" si="30"/>
        <v>0.23635606165810308</v>
      </c>
      <c r="O168">
        <f t="shared" si="37"/>
        <v>1.0378022597371635E-2</v>
      </c>
      <c r="P168" s="16">
        <f t="shared" si="41"/>
        <v>8336190.4761904757</v>
      </c>
      <c r="Q168">
        <f t="shared" si="32"/>
        <v>153.66</v>
      </c>
      <c r="R168">
        <f t="shared" si="33"/>
        <v>162.84</v>
      </c>
      <c r="S168">
        <f t="shared" si="34"/>
        <v>176.69</v>
      </c>
      <c r="T168">
        <f t="shared" si="35"/>
        <v>23.03</v>
      </c>
    </row>
    <row r="169" spans="1:20" x14ac:dyDescent="0.25">
      <c r="A169" s="7">
        <v>45903</v>
      </c>
      <c r="B169">
        <v>178</v>
      </c>
      <c r="C169">
        <v>177.67</v>
      </c>
      <c r="D169">
        <v>178.29</v>
      </c>
      <c r="E169">
        <v>176.53</v>
      </c>
      <c r="F169">
        <v>7.11</v>
      </c>
      <c r="G169">
        <v>-0.03</v>
      </c>
      <c r="H169" s="9">
        <f t="shared" si="31"/>
        <v>7110000</v>
      </c>
      <c r="I169" s="1">
        <f t="shared" si="36"/>
        <v>177.19571428571427</v>
      </c>
      <c r="J169" s="1">
        <f t="shared" si="39"/>
        <v>175.96549999999996</v>
      </c>
      <c r="K169" s="1">
        <f t="shared" si="38"/>
        <v>166.97020000000001</v>
      </c>
      <c r="L169">
        <f t="shared" si="29"/>
        <v>1.7599999999999909</v>
      </c>
      <c r="M169" s="1">
        <f t="shared" si="40"/>
        <v>2.2035000000000027</v>
      </c>
      <c r="N169" s="2">
        <f t="shared" si="30"/>
        <v>0.23593945285377016</v>
      </c>
      <c r="O169">
        <f t="shared" si="37"/>
        <v>9.1023441358679489E-3</v>
      </c>
      <c r="P169" s="16">
        <f t="shared" si="41"/>
        <v>8070952.3809523806</v>
      </c>
      <c r="Q169">
        <f t="shared" si="32"/>
        <v>153.66</v>
      </c>
      <c r="R169">
        <f t="shared" si="33"/>
        <v>162.84</v>
      </c>
      <c r="S169">
        <f t="shared" si="34"/>
        <v>176.69</v>
      </c>
      <c r="T169">
        <f t="shared" si="35"/>
        <v>23.03</v>
      </c>
    </row>
    <row r="170" spans="1:20" x14ac:dyDescent="0.25">
      <c r="A170" s="7">
        <v>45904</v>
      </c>
      <c r="B170">
        <v>178.76</v>
      </c>
      <c r="C170">
        <v>178</v>
      </c>
      <c r="D170">
        <v>178.9</v>
      </c>
      <c r="E170">
        <v>177.55</v>
      </c>
      <c r="F170">
        <v>7.85</v>
      </c>
      <c r="G170">
        <v>0.43</v>
      </c>
      <c r="H170" s="9">
        <f t="shared" si="31"/>
        <v>7850000</v>
      </c>
      <c r="I170" s="1">
        <f t="shared" si="36"/>
        <v>177.24571428571429</v>
      </c>
      <c r="J170" s="1">
        <f t="shared" si="39"/>
        <v>176.37399999999997</v>
      </c>
      <c r="K170" s="1">
        <f t="shared" si="38"/>
        <v>167.5016</v>
      </c>
      <c r="L170">
        <f t="shared" si="29"/>
        <v>1.3499999999999943</v>
      </c>
      <c r="M170" s="1">
        <f t="shared" si="40"/>
        <v>2.1460000000000021</v>
      </c>
      <c r="N170" s="2">
        <f t="shared" si="30"/>
        <v>0.2412164977086515</v>
      </c>
      <c r="O170">
        <f t="shared" si="37"/>
        <v>7.8729789004577284E-3</v>
      </c>
      <c r="P170" s="16">
        <f t="shared" si="41"/>
        <v>8067142.8571428573</v>
      </c>
      <c r="Q170">
        <f t="shared" si="32"/>
        <v>153.66</v>
      </c>
      <c r="R170">
        <f t="shared" si="33"/>
        <v>162.84</v>
      </c>
      <c r="S170">
        <f t="shared" si="34"/>
        <v>176.69</v>
      </c>
      <c r="T170">
        <f t="shared" si="35"/>
        <v>23.03</v>
      </c>
    </row>
    <row r="171" spans="1:20" x14ac:dyDescent="0.25">
      <c r="A171" s="7">
        <v>45905</v>
      </c>
      <c r="B171">
        <v>178.43</v>
      </c>
      <c r="C171">
        <v>178</v>
      </c>
      <c r="D171">
        <v>179.51</v>
      </c>
      <c r="E171">
        <v>176.56</v>
      </c>
      <c r="F171">
        <v>9.73</v>
      </c>
      <c r="G171">
        <v>-0.18</v>
      </c>
      <c r="H171" s="9">
        <f t="shared" si="31"/>
        <v>9730000</v>
      </c>
      <c r="I171" s="1">
        <f t="shared" si="36"/>
        <v>177.52285714285716</v>
      </c>
      <c r="J171" s="1">
        <f t="shared" si="39"/>
        <v>176.71899999999999</v>
      </c>
      <c r="K171" s="1">
        <f t="shared" si="38"/>
        <v>168.02459999999999</v>
      </c>
      <c r="L171">
        <f t="shared" si="29"/>
        <v>2.9499999999999886</v>
      </c>
      <c r="M171" s="1">
        <f t="shared" si="40"/>
        <v>2.2085000000000008</v>
      </c>
      <c r="N171" s="2">
        <f t="shared" si="30"/>
        <v>0.23892514928482145</v>
      </c>
      <c r="O171">
        <f t="shared" si="37"/>
        <v>7.7441341309477741E-3</v>
      </c>
      <c r="P171" s="16">
        <f t="shared" si="41"/>
        <v>8103809.5238095243</v>
      </c>
      <c r="Q171">
        <f t="shared" si="32"/>
        <v>153.66</v>
      </c>
      <c r="R171">
        <f t="shared" si="33"/>
        <v>162.84</v>
      </c>
      <c r="S171">
        <f t="shared" si="34"/>
        <v>176.69</v>
      </c>
      <c r="T171">
        <f t="shared" si="35"/>
        <v>23.03</v>
      </c>
    </row>
    <row r="172" spans="1:20" x14ac:dyDescent="0.25">
      <c r="A172" s="7">
        <v>45908</v>
      </c>
      <c r="B172">
        <v>178.13</v>
      </c>
      <c r="C172">
        <v>177.36</v>
      </c>
      <c r="D172">
        <v>179.45</v>
      </c>
      <c r="E172">
        <v>176.7</v>
      </c>
      <c r="F172">
        <v>8.3800000000000008</v>
      </c>
      <c r="G172">
        <v>-0.17</v>
      </c>
      <c r="H172" s="9">
        <f t="shared" si="31"/>
        <v>8380000.0000000009</v>
      </c>
      <c r="I172" s="1">
        <f t="shared" si="36"/>
        <v>177.71428571428572</v>
      </c>
      <c r="J172" s="1">
        <f t="shared" si="39"/>
        <v>176.959</v>
      </c>
      <c r="K172" s="1">
        <f t="shared" si="38"/>
        <v>168.54699999999997</v>
      </c>
      <c r="L172">
        <f t="shared" si="29"/>
        <v>2.75</v>
      </c>
      <c r="M172" s="1">
        <f t="shared" si="40"/>
        <v>2.1674999999999995</v>
      </c>
      <c r="N172" s="2">
        <f t="shared" si="30"/>
        <v>0.23684210526315774</v>
      </c>
      <c r="O172">
        <f t="shared" si="37"/>
        <v>7.1898485880778724E-3</v>
      </c>
      <c r="P172" s="16">
        <f t="shared" si="41"/>
        <v>8059047.6190476194</v>
      </c>
      <c r="Q172">
        <f t="shared" si="32"/>
        <v>153.66</v>
      </c>
      <c r="R172">
        <f t="shared" si="33"/>
        <v>162.84</v>
      </c>
      <c r="S172">
        <f t="shared" si="34"/>
        <v>176.69</v>
      </c>
      <c r="T172">
        <f t="shared" si="35"/>
        <v>23.03</v>
      </c>
    </row>
    <row r="173" spans="1:20" x14ac:dyDescent="0.25">
      <c r="A173" s="7">
        <v>45909</v>
      </c>
      <c r="B173">
        <v>176.96</v>
      </c>
      <c r="C173">
        <v>178</v>
      </c>
      <c r="D173">
        <v>178.09</v>
      </c>
      <c r="E173">
        <v>176.45</v>
      </c>
      <c r="F173">
        <v>6.01</v>
      </c>
      <c r="G173">
        <v>-0.66</v>
      </c>
      <c r="H173" s="9">
        <f t="shared" si="31"/>
        <v>6010000</v>
      </c>
      <c r="I173" s="1">
        <f t="shared" si="36"/>
        <v>177.93000000000004</v>
      </c>
      <c r="J173" s="1">
        <f t="shared" si="39"/>
        <v>177.11600000000001</v>
      </c>
      <c r="K173" s="1">
        <f t="shared" si="38"/>
        <v>169.03799999999998</v>
      </c>
      <c r="L173">
        <f t="shared" si="29"/>
        <v>1.6400000000000148</v>
      </c>
      <c r="M173" s="1">
        <f t="shared" si="40"/>
        <v>2.1720000000000015</v>
      </c>
      <c r="N173" s="2">
        <f t="shared" si="30"/>
        <v>0.22871823357866949</v>
      </c>
      <c r="O173">
        <f t="shared" si="37"/>
        <v>7.3829615400702433E-3</v>
      </c>
      <c r="P173" s="16">
        <f t="shared" si="41"/>
        <v>7979047.6190476194</v>
      </c>
      <c r="Q173">
        <f t="shared" si="32"/>
        <v>153.66</v>
      </c>
      <c r="R173">
        <f t="shared" si="33"/>
        <v>162.84</v>
      </c>
      <c r="S173">
        <f t="shared" si="34"/>
        <v>176.69</v>
      </c>
      <c r="T173">
        <f t="shared" si="35"/>
        <v>23.03</v>
      </c>
    </row>
    <row r="174" spans="1:20" x14ac:dyDescent="0.25">
      <c r="A174" s="7">
        <v>45910</v>
      </c>
      <c r="B174">
        <v>175.79</v>
      </c>
      <c r="C174">
        <v>176.3</v>
      </c>
      <c r="D174">
        <v>176.6</v>
      </c>
      <c r="E174">
        <v>174.33</v>
      </c>
      <c r="F174">
        <v>6.89</v>
      </c>
      <c r="G174">
        <v>-0.66</v>
      </c>
      <c r="H174" s="9">
        <f t="shared" si="31"/>
        <v>6890000</v>
      </c>
      <c r="I174" s="1">
        <f t="shared" si="36"/>
        <v>177.73285714285711</v>
      </c>
      <c r="J174" s="1">
        <f t="shared" si="39"/>
        <v>177.26649999999998</v>
      </c>
      <c r="K174" s="1">
        <f t="shared" si="38"/>
        <v>169.49880000000002</v>
      </c>
      <c r="L174">
        <f t="shared" si="29"/>
        <v>2.2699999999999818</v>
      </c>
      <c r="M174" s="1">
        <f t="shared" si="40"/>
        <v>2.1380000000000008</v>
      </c>
      <c r="N174" s="2">
        <f t="shared" si="30"/>
        <v>0.22059436189418125</v>
      </c>
      <c r="O174">
        <f t="shared" si="37"/>
        <v>7.9481665803248364E-3</v>
      </c>
      <c r="P174" s="16">
        <f t="shared" si="41"/>
        <v>7961428.5714285718</v>
      </c>
      <c r="Q174">
        <f t="shared" si="32"/>
        <v>153.66</v>
      </c>
      <c r="R174">
        <f t="shared" si="33"/>
        <v>162.84</v>
      </c>
      <c r="S174">
        <f t="shared" si="34"/>
        <v>176.69</v>
      </c>
      <c r="T174">
        <f t="shared" si="35"/>
        <v>23.03</v>
      </c>
    </row>
    <row r="175" spans="1:20" x14ac:dyDescent="0.25">
      <c r="A175" s="7">
        <v>45911</v>
      </c>
      <c r="B175">
        <v>178.5</v>
      </c>
      <c r="C175">
        <v>175.75</v>
      </c>
      <c r="D175">
        <v>178.85</v>
      </c>
      <c r="E175">
        <v>175.63</v>
      </c>
      <c r="F175">
        <v>5.79</v>
      </c>
      <c r="G175">
        <v>1.54</v>
      </c>
      <c r="H175" s="9">
        <f t="shared" si="31"/>
        <v>5790000</v>
      </c>
      <c r="I175" s="1">
        <f t="shared" si="36"/>
        <v>177.7957142857143</v>
      </c>
      <c r="J175" s="1">
        <f t="shared" si="39"/>
        <v>177.47050000000002</v>
      </c>
      <c r="K175" s="1">
        <f t="shared" si="38"/>
        <v>169.9504</v>
      </c>
      <c r="L175">
        <f t="shared" si="29"/>
        <v>3.2199999999999989</v>
      </c>
      <c r="M175" s="1">
        <f t="shared" si="40"/>
        <v>2.2070000000000007</v>
      </c>
      <c r="N175" s="2">
        <f t="shared" si="30"/>
        <v>0.23941119288987633</v>
      </c>
      <c r="O175">
        <f t="shared" si="37"/>
        <v>7.7382620490834466E-3</v>
      </c>
      <c r="P175" s="16">
        <f t="shared" si="41"/>
        <v>7860000</v>
      </c>
      <c r="Q175">
        <f t="shared" si="32"/>
        <v>153.66</v>
      </c>
      <c r="R175">
        <f t="shared" si="33"/>
        <v>162.84</v>
      </c>
      <c r="S175">
        <f t="shared" si="34"/>
        <v>176.69</v>
      </c>
      <c r="T175">
        <f t="shared" si="35"/>
        <v>23.03</v>
      </c>
    </row>
    <row r="176" spans="1:20" x14ac:dyDescent="0.25">
      <c r="A176" s="7">
        <v>45912</v>
      </c>
      <c r="B176">
        <v>178.06</v>
      </c>
      <c r="C176">
        <v>177.71</v>
      </c>
      <c r="D176">
        <v>178.8</v>
      </c>
      <c r="E176">
        <v>176.72</v>
      </c>
      <c r="F176">
        <v>7.22</v>
      </c>
      <c r="G176">
        <v>-0.25</v>
      </c>
      <c r="H176" s="9">
        <f t="shared" si="31"/>
        <v>7220000</v>
      </c>
      <c r="I176" s="1">
        <f t="shared" si="36"/>
        <v>177.8042857142857</v>
      </c>
      <c r="J176" s="1">
        <f t="shared" si="39"/>
        <v>177.63749999999999</v>
      </c>
      <c r="K176" s="1">
        <f t="shared" si="38"/>
        <v>170.40039999999996</v>
      </c>
      <c r="L176">
        <f t="shared" si="29"/>
        <v>2.0800000000000125</v>
      </c>
      <c r="M176" s="1">
        <f t="shared" si="40"/>
        <v>2.1610000000000014</v>
      </c>
      <c r="N176" s="2">
        <f t="shared" si="30"/>
        <v>0.23635606165810308</v>
      </c>
      <c r="O176">
        <f t="shared" si="37"/>
        <v>7.0921648819863231E-3</v>
      </c>
      <c r="P176" s="16">
        <f t="shared" si="41"/>
        <v>7923809.5238095243</v>
      </c>
      <c r="Q176">
        <f t="shared" si="32"/>
        <v>153.66</v>
      </c>
      <c r="R176">
        <f t="shared" si="33"/>
        <v>162.84</v>
      </c>
      <c r="S176">
        <f t="shared" si="34"/>
        <v>176.69</v>
      </c>
      <c r="T176">
        <f t="shared" si="35"/>
        <v>23.03</v>
      </c>
    </row>
    <row r="177" spans="1:20" x14ac:dyDescent="0.25">
      <c r="A177" s="7">
        <v>45915</v>
      </c>
      <c r="B177">
        <v>177.4</v>
      </c>
      <c r="C177">
        <v>177.76</v>
      </c>
      <c r="D177">
        <v>178.99</v>
      </c>
      <c r="E177">
        <v>176.93</v>
      </c>
      <c r="F177">
        <v>4.7699999999999996</v>
      </c>
      <c r="G177">
        <v>-0.37</v>
      </c>
      <c r="H177" s="9">
        <f t="shared" si="31"/>
        <v>4770000</v>
      </c>
      <c r="I177" s="1">
        <f t="shared" si="36"/>
        <v>177.60999999999999</v>
      </c>
      <c r="J177" s="1">
        <f t="shared" si="39"/>
        <v>177.6755</v>
      </c>
      <c r="K177" s="1">
        <f t="shared" si="38"/>
        <v>170.82820000000004</v>
      </c>
      <c r="L177">
        <f t="shared" si="29"/>
        <v>2.0600000000000023</v>
      </c>
      <c r="M177" s="1">
        <f t="shared" si="40"/>
        <v>2.1490000000000022</v>
      </c>
      <c r="N177" s="2">
        <f t="shared" si="30"/>
        <v>0.23177336481044297</v>
      </c>
      <c r="O177">
        <f t="shared" si="37"/>
        <v>6.8724509202517988E-3</v>
      </c>
      <c r="P177" s="16">
        <f t="shared" si="41"/>
        <v>7758571.4285714282</v>
      </c>
      <c r="Q177">
        <f t="shared" si="32"/>
        <v>153.66</v>
      </c>
      <c r="R177">
        <f t="shared" si="33"/>
        <v>162.84</v>
      </c>
      <c r="S177">
        <f t="shared" si="34"/>
        <v>176.69</v>
      </c>
      <c r="T177">
        <f t="shared" si="35"/>
        <v>23.03</v>
      </c>
    </row>
    <row r="178" spans="1:20" x14ac:dyDescent="0.25">
      <c r="A178" s="7">
        <v>45916</v>
      </c>
      <c r="B178">
        <v>176.46</v>
      </c>
      <c r="C178">
        <v>177.57</v>
      </c>
      <c r="D178">
        <v>177.62</v>
      </c>
      <c r="E178">
        <v>175.65</v>
      </c>
      <c r="F178">
        <v>7.96</v>
      </c>
      <c r="G178">
        <v>-0.53</v>
      </c>
      <c r="H178" s="9">
        <f t="shared" si="31"/>
        <v>7960000</v>
      </c>
      <c r="I178" s="1">
        <f t="shared" si="36"/>
        <v>177.32857142857145</v>
      </c>
      <c r="J178" s="1">
        <f t="shared" si="39"/>
        <v>177.68599999999998</v>
      </c>
      <c r="K178" s="1">
        <f t="shared" si="38"/>
        <v>171.25200000000001</v>
      </c>
      <c r="L178">
        <f t="shared" si="29"/>
        <v>1.9699999999999989</v>
      </c>
      <c r="M178" s="1">
        <f t="shared" si="40"/>
        <v>2.1740000000000022</v>
      </c>
      <c r="N178" s="2">
        <f t="shared" si="30"/>
        <v>0.22524649354256354</v>
      </c>
      <c r="O178">
        <f t="shared" si="37"/>
        <v>6.8867439323903089E-3</v>
      </c>
      <c r="P178" s="16">
        <f t="shared" si="41"/>
        <v>7686190.4761904757</v>
      </c>
      <c r="Q178">
        <f t="shared" si="32"/>
        <v>153.66</v>
      </c>
      <c r="R178">
        <f t="shared" si="33"/>
        <v>162.84</v>
      </c>
      <c r="S178">
        <f t="shared" si="34"/>
        <v>176.69</v>
      </c>
      <c r="T178">
        <f t="shared" si="35"/>
        <v>23.03</v>
      </c>
    </row>
    <row r="179" spans="1:20" x14ac:dyDescent="0.25">
      <c r="A179" s="7">
        <v>45917</v>
      </c>
      <c r="B179">
        <v>177.2</v>
      </c>
      <c r="C179">
        <v>176.71</v>
      </c>
      <c r="D179">
        <v>178.51</v>
      </c>
      <c r="E179">
        <v>176.59</v>
      </c>
      <c r="F179">
        <v>6.72</v>
      </c>
      <c r="G179">
        <v>0.42</v>
      </c>
      <c r="H179" s="9">
        <f t="shared" si="31"/>
        <v>6720000</v>
      </c>
      <c r="I179" s="1">
        <f t="shared" si="36"/>
        <v>177.19571428571427</v>
      </c>
      <c r="J179" s="1">
        <f t="shared" si="39"/>
        <v>177.65600000000001</v>
      </c>
      <c r="K179" s="1">
        <f t="shared" si="38"/>
        <v>171.68020000000004</v>
      </c>
      <c r="L179">
        <f t="shared" si="29"/>
        <v>1.9199999999999875</v>
      </c>
      <c r="M179" s="1">
        <f t="shared" si="40"/>
        <v>2.160000000000001</v>
      </c>
      <c r="N179" s="2">
        <f t="shared" si="30"/>
        <v>0.23038466879600028</v>
      </c>
      <c r="O179">
        <f t="shared" si="37"/>
        <v>6.7948233483282154E-3</v>
      </c>
      <c r="P179" s="16">
        <f t="shared" si="41"/>
        <v>7564285.7142857146</v>
      </c>
      <c r="Q179">
        <f t="shared" si="32"/>
        <v>153.66</v>
      </c>
      <c r="R179">
        <f t="shared" si="33"/>
        <v>162.84</v>
      </c>
      <c r="S179">
        <f t="shared" si="34"/>
        <v>176.69</v>
      </c>
      <c r="T179">
        <f t="shared" si="35"/>
        <v>23.03</v>
      </c>
    </row>
    <row r="180" spans="1:20" x14ac:dyDescent="0.25">
      <c r="A180" s="7">
        <v>45918</v>
      </c>
      <c r="B180">
        <v>174.16</v>
      </c>
      <c r="C180">
        <v>176.6</v>
      </c>
      <c r="D180">
        <v>177.02</v>
      </c>
      <c r="E180">
        <v>173.87</v>
      </c>
      <c r="F180">
        <v>8.1999999999999993</v>
      </c>
      <c r="G180">
        <v>-1.72</v>
      </c>
      <c r="H180" s="9">
        <f t="shared" si="31"/>
        <v>8199999.9999999991</v>
      </c>
      <c r="I180" s="1">
        <f t="shared" si="36"/>
        <v>176.79571428571427</v>
      </c>
      <c r="J180" s="1">
        <f t="shared" si="39"/>
        <v>177.42199999999997</v>
      </c>
      <c r="K180" s="1">
        <f t="shared" ref="K180:K211" si="42">AVERAGE(B131:B180)</f>
        <v>172.03780000000003</v>
      </c>
      <c r="L180">
        <f t="shared" si="29"/>
        <v>3.1500000000000057</v>
      </c>
      <c r="M180" s="1">
        <f t="shared" si="40"/>
        <v>2.1870000000000003</v>
      </c>
      <c r="N180" s="2">
        <f t="shared" si="30"/>
        <v>0.20927648937647536</v>
      </c>
      <c r="O180">
        <f t="shared" si="37"/>
        <v>8.3249578812886194E-3</v>
      </c>
      <c r="P180" s="16">
        <f t="shared" si="41"/>
        <v>7513333.333333333</v>
      </c>
      <c r="Q180">
        <f t="shared" si="32"/>
        <v>153.66</v>
      </c>
      <c r="R180">
        <f t="shared" si="33"/>
        <v>162.84</v>
      </c>
      <c r="S180">
        <f t="shared" si="34"/>
        <v>176.69</v>
      </c>
      <c r="T180">
        <f t="shared" si="35"/>
        <v>23.03</v>
      </c>
    </row>
    <row r="181" spans="1:20" x14ac:dyDescent="0.25">
      <c r="A181" s="7">
        <v>45919</v>
      </c>
      <c r="B181">
        <v>176.19</v>
      </c>
      <c r="C181">
        <v>174.69</v>
      </c>
      <c r="D181">
        <v>177.16</v>
      </c>
      <c r="E181">
        <v>173.33</v>
      </c>
      <c r="F181">
        <v>25.62</v>
      </c>
      <c r="G181">
        <v>1.17</v>
      </c>
      <c r="H181" s="9">
        <f t="shared" si="31"/>
        <v>25620000</v>
      </c>
      <c r="I181" s="1">
        <f t="shared" si="36"/>
        <v>176.85285714285718</v>
      </c>
      <c r="J181" s="1">
        <f t="shared" si="39"/>
        <v>177.285</v>
      </c>
      <c r="K181" s="1">
        <f t="shared" si="42"/>
        <v>172.40780000000004</v>
      </c>
      <c r="L181">
        <f t="shared" si="29"/>
        <v>3.8299999999999841</v>
      </c>
      <c r="M181" s="1">
        <f t="shared" si="40"/>
        <v>2.2824999999999989</v>
      </c>
      <c r="N181" s="2">
        <f t="shared" si="30"/>
        <v>0.22337175392306619</v>
      </c>
      <c r="O181">
        <f t="shared" si="37"/>
        <v>8.5835741076941471E-3</v>
      </c>
      <c r="P181" s="16">
        <f t="shared" si="41"/>
        <v>8303333.333333333</v>
      </c>
      <c r="Q181">
        <f t="shared" si="32"/>
        <v>153.66</v>
      </c>
      <c r="R181">
        <f t="shared" si="33"/>
        <v>162.84</v>
      </c>
      <c r="S181">
        <f t="shared" si="34"/>
        <v>176.69</v>
      </c>
      <c r="T181">
        <f t="shared" si="35"/>
        <v>23.03</v>
      </c>
    </row>
    <row r="182" spans="1:20" x14ac:dyDescent="0.25">
      <c r="A182" s="7">
        <v>45922</v>
      </c>
      <c r="B182">
        <v>174.21</v>
      </c>
      <c r="C182">
        <v>176.09</v>
      </c>
      <c r="D182">
        <v>176.64</v>
      </c>
      <c r="E182">
        <v>174.12</v>
      </c>
      <c r="F182">
        <v>7.19</v>
      </c>
      <c r="G182">
        <v>-1.1200000000000001</v>
      </c>
      <c r="H182" s="9">
        <f t="shared" si="31"/>
        <v>7190000</v>
      </c>
      <c r="I182" s="1">
        <f t="shared" si="36"/>
        <v>176.24</v>
      </c>
      <c r="J182" s="1">
        <f t="shared" ref="J182:J213" si="43">AVERAGE(B163:B182)</f>
        <v>177.03100000000001</v>
      </c>
      <c r="K182" s="1">
        <f t="shared" si="42"/>
        <v>172.75400000000002</v>
      </c>
      <c r="L182">
        <f t="shared" si="29"/>
        <v>2.5199999999999818</v>
      </c>
      <c r="M182" s="1">
        <f t="shared" si="40"/>
        <v>2.223999999999998</v>
      </c>
      <c r="N182" s="2">
        <f t="shared" si="30"/>
        <v>0.20962366338008609</v>
      </c>
      <c r="O182">
        <f t="shared" si="37"/>
        <v>1.003663784655383E-2</v>
      </c>
      <c r="P182" s="16">
        <f t="shared" si="41"/>
        <v>8223809.5238095243</v>
      </c>
      <c r="Q182">
        <f t="shared" si="32"/>
        <v>153.66</v>
      </c>
      <c r="R182">
        <f t="shared" si="33"/>
        <v>162.84</v>
      </c>
      <c r="S182">
        <f t="shared" si="34"/>
        <v>176.69</v>
      </c>
      <c r="T182">
        <f t="shared" si="35"/>
        <v>23.03</v>
      </c>
    </row>
    <row r="183" spans="1:20" x14ac:dyDescent="0.25">
      <c r="A183" s="7">
        <v>45923</v>
      </c>
      <c r="B183">
        <v>176.58</v>
      </c>
      <c r="C183">
        <v>174.89</v>
      </c>
      <c r="D183">
        <v>176.97</v>
      </c>
      <c r="E183">
        <v>174.83</v>
      </c>
      <c r="F183">
        <v>8.35</v>
      </c>
      <c r="G183">
        <v>1.36</v>
      </c>
      <c r="H183" s="9">
        <f t="shared" si="31"/>
        <v>8350000</v>
      </c>
      <c r="I183" s="1">
        <f t="shared" si="36"/>
        <v>176.02857142857141</v>
      </c>
      <c r="J183" s="1">
        <f t="shared" si="43"/>
        <v>176.93950000000001</v>
      </c>
      <c r="K183" s="1">
        <f t="shared" si="42"/>
        <v>173.14919999999998</v>
      </c>
      <c r="L183">
        <f t="shared" si="29"/>
        <v>2.1399999999999864</v>
      </c>
      <c r="M183" s="1">
        <f t="shared" si="40"/>
        <v>2.2324999999999973</v>
      </c>
      <c r="N183" s="2">
        <f t="shared" si="30"/>
        <v>0.22607971115122893</v>
      </c>
      <c r="O183">
        <f t="shared" si="37"/>
        <v>9.8780825048060111E-3</v>
      </c>
      <c r="P183" s="16">
        <f t="shared" si="41"/>
        <v>8168095.2380952379</v>
      </c>
      <c r="Q183">
        <f t="shared" si="32"/>
        <v>153.66</v>
      </c>
      <c r="R183">
        <f t="shared" si="33"/>
        <v>162.84</v>
      </c>
      <c r="S183">
        <f t="shared" si="34"/>
        <v>176.69</v>
      </c>
      <c r="T183">
        <f t="shared" si="35"/>
        <v>23.03</v>
      </c>
    </row>
    <row r="184" spans="1:20" x14ac:dyDescent="0.25">
      <c r="A184" s="7">
        <v>45924</v>
      </c>
      <c r="B184">
        <v>176.69</v>
      </c>
      <c r="C184">
        <v>176.14</v>
      </c>
      <c r="D184">
        <v>176.95</v>
      </c>
      <c r="E184">
        <v>175.74</v>
      </c>
      <c r="F184">
        <v>6.68</v>
      </c>
      <c r="G184">
        <v>0.06</v>
      </c>
      <c r="H184" s="9">
        <f t="shared" si="31"/>
        <v>6680000</v>
      </c>
      <c r="I184" s="1">
        <f t="shared" si="36"/>
        <v>175.92714285714285</v>
      </c>
      <c r="J184" s="1">
        <f t="shared" si="43"/>
        <v>176.9495</v>
      </c>
      <c r="K184" s="1">
        <f t="shared" si="42"/>
        <v>173.5796</v>
      </c>
      <c r="L184">
        <f t="shared" si="29"/>
        <v>1.2099999999999795</v>
      </c>
      <c r="M184" s="1">
        <f t="shared" si="40"/>
        <v>2.2234999999999969</v>
      </c>
      <c r="N184" s="2">
        <f t="shared" si="30"/>
        <v>0.22684349395917214</v>
      </c>
      <c r="O184">
        <f t="shared" si="37"/>
        <v>9.2192599318774108E-3</v>
      </c>
      <c r="P184" s="16">
        <f t="shared" si="41"/>
        <v>8189523.8095238097</v>
      </c>
      <c r="Q184">
        <f t="shared" si="32"/>
        <v>153.66</v>
      </c>
      <c r="R184">
        <f t="shared" si="33"/>
        <v>162.84</v>
      </c>
      <c r="S184">
        <f t="shared" si="34"/>
        <v>176.69</v>
      </c>
      <c r="T184">
        <f t="shared" si="35"/>
        <v>23.03</v>
      </c>
    </row>
    <row r="185" spans="1:20" x14ac:dyDescent="0.25">
      <c r="A185" s="7">
        <v>45925</v>
      </c>
      <c r="B185">
        <v>177.73</v>
      </c>
      <c r="C185">
        <v>177.2</v>
      </c>
      <c r="D185">
        <v>178.4</v>
      </c>
      <c r="E185">
        <v>175.91</v>
      </c>
      <c r="F185">
        <v>8.4700000000000006</v>
      </c>
      <c r="G185">
        <v>0.59</v>
      </c>
      <c r="H185" s="9">
        <f t="shared" si="31"/>
        <v>8470000</v>
      </c>
      <c r="I185" s="1">
        <f t="shared" si="36"/>
        <v>176.10857142857142</v>
      </c>
      <c r="J185" s="1">
        <f t="shared" si="43"/>
        <v>176.9965</v>
      </c>
      <c r="K185" s="1">
        <f t="shared" si="42"/>
        <v>173.83860000000001</v>
      </c>
      <c r="L185">
        <f t="shared" si="29"/>
        <v>2.4900000000000091</v>
      </c>
      <c r="M185" s="1">
        <f t="shared" si="40"/>
        <v>2.2714999999999974</v>
      </c>
      <c r="N185" s="2">
        <f t="shared" si="30"/>
        <v>0.2340647132342728</v>
      </c>
      <c r="O185">
        <f t="shared" si="37"/>
        <v>8.8629326723159204E-3</v>
      </c>
      <c r="P185" s="16">
        <f t="shared" si="41"/>
        <v>8157142.8571428573</v>
      </c>
      <c r="Q185">
        <f t="shared" si="32"/>
        <v>153.66</v>
      </c>
      <c r="R185">
        <f t="shared" si="33"/>
        <v>162.84</v>
      </c>
      <c r="S185">
        <f t="shared" si="34"/>
        <v>176.69</v>
      </c>
      <c r="T185">
        <f t="shared" si="35"/>
        <v>23.03</v>
      </c>
    </row>
    <row r="186" spans="1:20" x14ac:dyDescent="0.25">
      <c r="A186" s="7">
        <v>45926</v>
      </c>
      <c r="B186">
        <v>179.71</v>
      </c>
      <c r="C186">
        <v>178.6</v>
      </c>
      <c r="D186">
        <v>179.91</v>
      </c>
      <c r="E186">
        <v>177.32</v>
      </c>
      <c r="F186">
        <v>8.6300000000000008</v>
      </c>
      <c r="G186">
        <v>1.1100000000000001</v>
      </c>
      <c r="H186" s="9">
        <f t="shared" si="31"/>
        <v>8630000</v>
      </c>
      <c r="I186" s="1">
        <f t="shared" si="36"/>
        <v>176.46714285714287</v>
      </c>
      <c r="J186" s="1">
        <f t="shared" si="43"/>
        <v>177.20949999999999</v>
      </c>
      <c r="K186" s="1">
        <f t="shared" si="42"/>
        <v>174.17320000000001</v>
      </c>
      <c r="L186">
        <f t="shared" si="29"/>
        <v>2.5900000000000034</v>
      </c>
      <c r="M186" s="1">
        <f t="shared" si="40"/>
        <v>2.3079999999999972</v>
      </c>
      <c r="N186" s="2">
        <f t="shared" si="30"/>
        <v>0.24781280377725312</v>
      </c>
      <c r="O186">
        <f t="shared" si="37"/>
        <v>1.0094241864575563E-2</v>
      </c>
      <c r="P186" s="16">
        <f t="shared" si="41"/>
        <v>8284761.9047619049</v>
      </c>
      <c r="Q186">
        <f t="shared" si="32"/>
        <v>153.66</v>
      </c>
      <c r="R186">
        <f t="shared" si="33"/>
        <v>162.84</v>
      </c>
      <c r="S186">
        <f t="shared" si="34"/>
        <v>176.69</v>
      </c>
      <c r="T186">
        <f t="shared" si="35"/>
        <v>23.03</v>
      </c>
    </row>
    <row r="187" spans="1:20" x14ac:dyDescent="0.25">
      <c r="A187" s="7">
        <v>45929</v>
      </c>
      <c r="B187">
        <v>181.62</v>
      </c>
      <c r="C187">
        <v>179.82</v>
      </c>
      <c r="D187">
        <v>181.87</v>
      </c>
      <c r="E187">
        <v>179.8</v>
      </c>
      <c r="F187">
        <v>8.6</v>
      </c>
      <c r="G187">
        <v>1.06</v>
      </c>
      <c r="H187" s="9">
        <f t="shared" si="31"/>
        <v>8600000</v>
      </c>
      <c r="I187" s="1">
        <f t="shared" si="36"/>
        <v>177.53285714285715</v>
      </c>
      <c r="J187" s="1">
        <f t="shared" si="43"/>
        <v>177.43199999999999</v>
      </c>
      <c r="K187" s="1">
        <f t="shared" si="42"/>
        <v>174.5316</v>
      </c>
      <c r="L187">
        <f t="shared" si="29"/>
        <v>2.0699999999999932</v>
      </c>
      <c r="M187" s="1">
        <f t="shared" si="40"/>
        <v>2.3139999999999956</v>
      </c>
      <c r="N187" s="2">
        <f t="shared" si="30"/>
        <v>0.26107485071517833</v>
      </c>
      <c r="O187">
        <f t="shared" si="37"/>
        <v>1.3246164390197622E-2</v>
      </c>
      <c r="P187" s="16">
        <f t="shared" si="41"/>
        <v>8388571.4285714282</v>
      </c>
      <c r="Q187">
        <f t="shared" si="32"/>
        <v>153.66</v>
      </c>
      <c r="R187">
        <f t="shared" si="33"/>
        <v>162.84</v>
      </c>
      <c r="S187">
        <f t="shared" si="34"/>
        <v>176.69</v>
      </c>
      <c r="T187">
        <f t="shared" si="35"/>
        <v>23.03</v>
      </c>
    </row>
    <row r="188" spans="1:20" x14ac:dyDescent="0.25">
      <c r="A188" s="7">
        <v>45930</v>
      </c>
      <c r="B188">
        <v>185.42</v>
      </c>
      <c r="C188">
        <v>181.7</v>
      </c>
      <c r="D188">
        <v>185.99</v>
      </c>
      <c r="E188">
        <v>181.07</v>
      </c>
      <c r="F188">
        <v>11.57</v>
      </c>
      <c r="G188">
        <v>2.09</v>
      </c>
      <c r="H188" s="9">
        <f t="shared" si="31"/>
        <v>11570000</v>
      </c>
      <c r="I188" s="1">
        <f t="shared" si="36"/>
        <v>178.85142857142858</v>
      </c>
      <c r="J188" s="1">
        <f t="shared" si="43"/>
        <v>177.8</v>
      </c>
      <c r="K188" s="1">
        <f t="shared" si="42"/>
        <v>174.9528</v>
      </c>
      <c r="L188">
        <f t="shared" si="29"/>
        <v>4.9200000000000159</v>
      </c>
      <c r="M188" s="1">
        <f t="shared" si="40"/>
        <v>2.4444999999999966</v>
      </c>
      <c r="N188" s="2">
        <f t="shared" si="30"/>
        <v>0.28746007498958459</v>
      </c>
      <c r="O188">
        <f t="shared" si="37"/>
        <v>1.9515576490186419E-2</v>
      </c>
      <c r="P188" s="16">
        <f t="shared" si="41"/>
        <v>8609047.6190476194</v>
      </c>
      <c r="Q188">
        <f t="shared" si="32"/>
        <v>153.66</v>
      </c>
      <c r="R188">
        <f t="shared" si="33"/>
        <v>162.84</v>
      </c>
      <c r="S188">
        <f t="shared" si="34"/>
        <v>176.69</v>
      </c>
      <c r="T188">
        <f t="shared" si="35"/>
        <v>23.03</v>
      </c>
    </row>
    <row r="189" spans="1:20" x14ac:dyDescent="0.25">
      <c r="A189" s="7">
        <v>45931</v>
      </c>
      <c r="B189">
        <v>186.05</v>
      </c>
      <c r="C189">
        <v>186</v>
      </c>
      <c r="D189">
        <v>186.56</v>
      </c>
      <c r="E189">
        <v>183.91</v>
      </c>
      <c r="F189">
        <v>13.06</v>
      </c>
      <c r="G189">
        <v>0.34</v>
      </c>
      <c r="H189" s="9">
        <f t="shared" si="31"/>
        <v>13060000</v>
      </c>
      <c r="I189" s="1">
        <f t="shared" si="36"/>
        <v>180.54285714285714</v>
      </c>
      <c r="J189" s="1">
        <f t="shared" si="43"/>
        <v>178.20250000000001</v>
      </c>
      <c r="K189" s="1">
        <f t="shared" si="42"/>
        <v>175.31519999999998</v>
      </c>
      <c r="L189">
        <f t="shared" si="29"/>
        <v>2.6500000000000057</v>
      </c>
      <c r="M189" s="1">
        <f t="shared" si="40"/>
        <v>2.4889999999999972</v>
      </c>
      <c r="N189" s="2">
        <f t="shared" si="30"/>
        <v>0.29183446743507835</v>
      </c>
      <c r="O189">
        <f t="shared" si="37"/>
        <v>2.4429998897450837E-2</v>
      </c>
      <c r="P189" s="16">
        <f t="shared" si="41"/>
        <v>8800000</v>
      </c>
      <c r="Q189">
        <f t="shared" si="32"/>
        <v>153.66</v>
      </c>
      <c r="R189">
        <f t="shared" si="33"/>
        <v>162.84</v>
      </c>
      <c r="S189">
        <f t="shared" si="34"/>
        <v>176.69</v>
      </c>
      <c r="T189">
        <f t="shared" si="35"/>
        <v>23.03</v>
      </c>
    </row>
    <row r="190" spans="1:20" x14ac:dyDescent="0.25">
      <c r="A190" s="7">
        <v>45932</v>
      </c>
      <c r="B190">
        <v>185.98</v>
      </c>
      <c r="C190">
        <v>184.19</v>
      </c>
      <c r="D190">
        <v>186.59</v>
      </c>
      <c r="E190">
        <v>184.09</v>
      </c>
      <c r="F190">
        <v>7.73</v>
      </c>
      <c r="G190">
        <v>-0.04</v>
      </c>
      <c r="H190" s="9">
        <f t="shared" si="31"/>
        <v>7730000</v>
      </c>
      <c r="I190" s="1">
        <f t="shared" si="36"/>
        <v>181.8857142857143</v>
      </c>
      <c r="J190" s="1">
        <f t="shared" si="43"/>
        <v>178.56350000000003</v>
      </c>
      <c r="K190" s="1">
        <f t="shared" si="42"/>
        <v>175.65279999999996</v>
      </c>
      <c r="L190">
        <f t="shared" si="29"/>
        <v>2.5</v>
      </c>
      <c r="M190" s="1">
        <f t="shared" si="40"/>
        <v>2.5464999999999973</v>
      </c>
      <c r="N190" s="2">
        <f t="shared" si="30"/>
        <v>0.29134842383002346</v>
      </c>
      <c r="O190">
        <f t="shared" si="37"/>
        <v>2.7916446804045671E-2</v>
      </c>
      <c r="P190" s="16">
        <f t="shared" si="41"/>
        <v>8829523.8095238097</v>
      </c>
      <c r="Q190">
        <f t="shared" si="32"/>
        <v>153.66</v>
      </c>
      <c r="R190">
        <f t="shared" si="33"/>
        <v>162.84</v>
      </c>
      <c r="S190">
        <f t="shared" si="34"/>
        <v>176.69</v>
      </c>
      <c r="T190">
        <f t="shared" si="35"/>
        <v>23.03</v>
      </c>
    </row>
    <row r="191" spans="1:20" x14ac:dyDescent="0.25">
      <c r="A191" s="7">
        <v>45933</v>
      </c>
      <c r="B191">
        <v>188.64</v>
      </c>
      <c r="C191">
        <v>187.06</v>
      </c>
      <c r="D191">
        <v>189.78</v>
      </c>
      <c r="E191">
        <v>186.91</v>
      </c>
      <c r="F191">
        <v>8.68</v>
      </c>
      <c r="G191">
        <v>1.43</v>
      </c>
      <c r="H191" s="9">
        <f t="shared" si="31"/>
        <v>8680000</v>
      </c>
      <c r="I191" s="1">
        <f t="shared" si="36"/>
        <v>183.59285714285716</v>
      </c>
      <c r="J191" s="1">
        <f t="shared" si="43"/>
        <v>179.07400000000001</v>
      </c>
      <c r="K191" s="1">
        <f t="shared" si="42"/>
        <v>176.03439999999995</v>
      </c>
      <c r="L191">
        <f t="shared" si="29"/>
        <v>2.8700000000000045</v>
      </c>
      <c r="M191" s="1">
        <f t="shared" si="40"/>
        <v>2.5424999999999982</v>
      </c>
      <c r="N191" s="2">
        <f t="shared" si="30"/>
        <v>0.30981808082210782</v>
      </c>
      <c r="O191">
        <f t="shared" si="37"/>
        <v>3.2600243701773196E-2</v>
      </c>
      <c r="P191" s="16">
        <f t="shared" si="41"/>
        <v>8869047.6190476194</v>
      </c>
      <c r="Q191">
        <f t="shared" si="32"/>
        <v>153.66</v>
      </c>
      <c r="R191">
        <f t="shared" si="33"/>
        <v>162.84</v>
      </c>
      <c r="S191">
        <f t="shared" si="34"/>
        <v>176.69</v>
      </c>
      <c r="T191">
        <f t="shared" si="35"/>
        <v>23.03</v>
      </c>
    </row>
    <row r="192" spans="1:20" x14ac:dyDescent="0.25">
      <c r="A192" s="7">
        <v>45936</v>
      </c>
      <c r="B192">
        <v>188.16</v>
      </c>
      <c r="C192">
        <v>188</v>
      </c>
      <c r="D192">
        <v>189.92</v>
      </c>
      <c r="E192">
        <v>187.37</v>
      </c>
      <c r="F192">
        <v>5.81</v>
      </c>
      <c r="G192">
        <v>-0.25</v>
      </c>
      <c r="H192" s="9">
        <f t="shared" si="31"/>
        <v>5810000</v>
      </c>
      <c r="I192" s="1">
        <f t="shared" si="36"/>
        <v>185.08285714285716</v>
      </c>
      <c r="J192" s="1">
        <f t="shared" si="43"/>
        <v>179.57549999999998</v>
      </c>
      <c r="K192" s="1">
        <f t="shared" si="42"/>
        <v>176.43159999999997</v>
      </c>
      <c r="L192">
        <f t="shared" si="29"/>
        <v>2.5499999999999829</v>
      </c>
      <c r="M192" s="1">
        <f t="shared" si="40"/>
        <v>2.5324999999999975</v>
      </c>
      <c r="N192" s="2">
        <f t="shared" si="30"/>
        <v>0.30648521038744603</v>
      </c>
      <c r="O192">
        <f t="shared" si="37"/>
        <v>3.5136731114737932E-2</v>
      </c>
      <c r="P192" s="16">
        <f t="shared" si="41"/>
        <v>8682380.9523809515</v>
      </c>
      <c r="Q192">
        <f t="shared" si="32"/>
        <v>153.66</v>
      </c>
      <c r="R192">
        <f t="shared" si="33"/>
        <v>162.84</v>
      </c>
      <c r="S192">
        <f t="shared" si="34"/>
        <v>176.69</v>
      </c>
      <c r="T192">
        <f t="shared" si="35"/>
        <v>23.03</v>
      </c>
    </row>
    <row r="193" spans="1:20" x14ac:dyDescent="0.25">
      <c r="A193" s="7">
        <v>45937</v>
      </c>
      <c r="B193">
        <v>188.89</v>
      </c>
      <c r="C193">
        <v>183.77</v>
      </c>
      <c r="D193">
        <v>189.23</v>
      </c>
      <c r="E193">
        <v>182.94</v>
      </c>
      <c r="F193">
        <v>8.7799999999999994</v>
      </c>
      <c r="G193">
        <v>0.39</v>
      </c>
      <c r="H193" s="9">
        <f t="shared" si="31"/>
        <v>8780000</v>
      </c>
      <c r="I193" s="1">
        <f t="shared" si="36"/>
        <v>186.39428571428567</v>
      </c>
      <c r="J193" s="1">
        <f t="shared" si="43"/>
        <v>180.17199999999997</v>
      </c>
      <c r="K193" s="1">
        <f t="shared" si="42"/>
        <v>176.88499999999996</v>
      </c>
      <c r="L193">
        <f t="shared" si="29"/>
        <v>6.289999999999992</v>
      </c>
      <c r="M193" s="1">
        <f t="shared" si="40"/>
        <v>2.7649999999999961</v>
      </c>
      <c r="N193" s="2">
        <f t="shared" si="30"/>
        <v>0.3115539508401608</v>
      </c>
      <c r="O193">
        <f t="shared" si="37"/>
        <v>3.7392203238511924E-2</v>
      </c>
      <c r="P193" s="16">
        <f t="shared" si="41"/>
        <v>8701428.5714285709</v>
      </c>
      <c r="Q193">
        <f t="shared" si="32"/>
        <v>153.66</v>
      </c>
      <c r="R193">
        <f t="shared" si="33"/>
        <v>162.84</v>
      </c>
      <c r="S193">
        <f t="shared" si="34"/>
        <v>176.69</v>
      </c>
      <c r="T193">
        <f t="shared" si="35"/>
        <v>23.03</v>
      </c>
    </row>
    <row r="194" spans="1:20" x14ac:dyDescent="0.25">
      <c r="A194" s="7">
        <v>45938</v>
      </c>
      <c r="B194">
        <v>189.69</v>
      </c>
      <c r="C194">
        <v>188.87</v>
      </c>
      <c r="D194">
        <v>190.21</v>
      </c>
      <c r="E194">
        <v>188.27</v>
      </c>
      <c r="F194">
        <v>5.75</v>
      </c>
      <c r="G194">
        <v>0.42</v>
      </c>
      <c r="H194" s="9">
        <f t="shared" si="31"/>
        <v>5750000</v>
      </c>
      <c r="I194" s="1">
        <f t="shared" si="36"/>
        <v>187.54714285714286</v>
      </c>
      <c r="J194" s="1">
        <f t="shared" si="43"/>
        <v>180.86700000000002</v>
      </c>
      <c r="K194" s="1">
        <f t="shared" si="42"/>
        <v>177.31659999999997</v>
      </c>
      <c r="L194">
        <f t="shared" si="29"/>
        <v>1.9399999999999977</v>
      </c>
      <c r="M194" s="1">
        <f t="shared" si="40"/>
        <v>2.7484999999999973</v>
      </c>
      <c r="N194" s="2">
        <f t="shared" si="30"/>
        <v>0.31710873489793068</v>
      </c>
      <c r="O194">
        <f t="shared" si="37"/>
        <v>3.7305776600548846E-2</v>
      </c>
      <c r="P194" s="16">
        <f t="shared" si="41"/>
        <v>8689047.6190476194</v>
      </c>
      <c r="Q194">
        <f t="shared" si="32"/>
        <v>153.66</v>
      </c>
      <c r="R194">
        <f t="shared" si="33"/>
        <v>162.84</v>
      </c>
      <c r="S194">
        <f t="shared" si="34"/>
        <v>176.69</v>
      </c>
      <c r="T194">
        <f t="shared" si="35"/>
        <v>23.03</v>
      </c>
    </row>
    <row r="195" spans="1:20" x14ac:dyDescent="0.25">
      <c r="A195" s="7">
        <v>45939</v>
      </c>
      <c r="B195">
        <v>191.08</v>
      </c>
      <c r="C195">
        <v>190</v>
      </c>
      <c r="D195">
        <v>192.1</v>
      </c>
      <c r="E195">
        <v>189.73</v>
      </c>
      <c r="F195">
        <v>7.48</v>
      </c>
      <c r="G195">
        <v>0.73</v>
      </c>
      <c r="H195" s="9">
        <f t="shared" si="31"/>
        <v>7480000</v>
      </c>
      <c r="I195" s="1">
        <f t="shared" si="36"/>
        <v>188.35571428571424</v>
      </c>
      <c r="J195" s="1">
        <f t="shared" si="43"/>
        <v>181.49600000000001</v>
      </c>
      <c r="K195" s="1">
        <f t="shared" si="42"/>
        <v>177.79300000000001</v>
      </c>
      <c r="L195">
        <f t="shared" ref="L195:L217" si="44">D195-E195</f>
        <v>2.3700000000000045</v>
      </c>
      <c r="M195" s="1">
        <f t="shared" si="40"/>
        <v>2.7059999999999973</v>
      </c>
      <c r="N195" s="2">
        <f t="shared" ref="N195:N217" si="45">(B195/$B$3)-1</f>
        <v>0.32676017219830578</v>
      </c>
      <c r="O195">
        <f t="shared" si="37"/>
        <v>3.8072045364056277E-2</v>
      </c>
      <c r="P195" s="16">
        <f t="shared" si="41"/>
        <v>8717142.8571428563</v>
      </c>
      <c r="Q195">
        <f t="shared" si="32"/>
        <v>153.66</v>
      </c>
      <c r="R195">
        <f t="shared" si="33"/>
        <v>162.84</v>
      </c>
      <c r="S195">
        <f t="shared" si="34"/>
        <v>176.69</v>
      </c>
      <c r="T195">
        <f t="shared" si="35"/>
        <v>23.03</v>
      </c>
    </row>
    <row r="196" spans="1:20" x14ac:dyDescent="0.25">
      <c r="A196" s="7">
        <v>45940</v>
      </c>
      <c r="B196">
        <v>190.72</v>
      </c>
      <c r="C196">
        <v>192.01</v>
      </c>
      <c r="D196">
        <v>192.07</v>
      </c>
      <c r="E196">
        <v>189.85</v>
      </c>
      <c r="F196">
        <v>9.6</v>
      </c>
      <c r="G196">
        <v>-0.19</v>
      </c>
      <c r="H196" s="9">
        <f t="shared" ref="H196:H221" si="46">F196*1000000</f>
        <v>9600000</v>
      </c>
      <c r="I196" s="1">
        <f t="shared" si="36"/>
        <v>189.02285714285713</v>
      </c>
      <c r="J196" s="1">
        <f t="shared" si="43"/>
        <v>182.12899999999996</v>
      </c>
      <c r="K196" s="1">
        <f t="shared" si="42"/>
        <v>178.31259999999995</v>
      </c>
      <c r="L196">
        <f t="shared" si="44"/>
        <v>2.2199999999999989</v>
      </c>
      <c r="M196" s="1">
        <f t="shared" si="40"/>
        <v>2.7129999999999965</v>
      </c>
      <c r="N196" s="2">
        <f t="shared" si="45"/>
        <v>0.32426051937230937</v>
      </c>
      <c r="O196">
        <f t="shared" si="37"/>
        <v>3.5397220761637954E-2</v>
      </c>
      <c r="P196" s="16">
        <f t="shared" si="41"/>
        <v>8898571.4285714291</v>
      </c>
      <c r="Q196">
        <f t="shared" ref="Q196:Q221" si="47">_xlfn.QUARTILE.EXC($B:$B,1)</f>
        <v>153.66</v>
      </c>
      <c r="R196">
        <f t="shared" ref="R196:R221" si="48">_xlfn.QUARTILE.EXC($B:$B,2)</f>
        <v>162.84</v>
      </c>
      <c r="S196">
        <f t="shared" ref="S196:S221" si="49">_xlfn.QUARTILE.EXC($B:$B,3)</f>
        <v>176.69</v>
      </c>
      <c r="T196">
        <f t="shared" ref="T196:T221" si="50">S196-Q196</f>
        <v>23.03</v>
      </c>
    </row>
    <row r="197" spans="1:20" x14ac:dyDescent="0.25">
      <c r="A197" s="7">
        <v>45943</v>
      </c>
      <c r="B197">
        <v>190.9</v>
      </c>
      <c r="C197">
        <v>189.83</v>
      </c>
      <c r="D197">
        <v>191.3</v>
      </c>
      <c r="E197">
        <v>189.28</v>
      </c>
      <c r="F197">
        <v>7.98</v>
      </c>
      <c r="G197">
        <v>0.09</v>
      </c>
      <c r="H197" s="9">
        <f t="shared" si="46"/>
        <v>7980000</v>
      </c>
      <c r="I197" s="1">
        <f t="shared" si="36"/>
        <v>189.72571428571428</v>
      </c>
      <c r="J197" s="1">
        <f t="shared" si="43"/>
        <v>182.804</v>
      </c>
      <c r="K197" s="1">
        <f t="shared" si="42"/>
        <v>178.78399999999993</v>
      </c>
      <c r="L197">
        <f t="shared" si="44"/>
        <v>2.0200000000000102</v>
      </c>
      <c r="M197" s="1">
        <f t="shared" si="40"/>
        <v>2.7109999999999972</v>
      </c>
      <c r="N197" s="2">
        <f t="shared" si="45"/>
        <v>0.32551034578530746</v>
      </c>
      <c r="O197">
        <f t="shared" si="37"/>
        <v>3.3161234150471515E-2</v>
      </c>
      <c r="P197" s="16">
        <f t="shared" si="41"/>
        <v>8934761.9047619049</v>
      </c>
      <c r="Q197">
        <f t="shared" si="47"/>
        <v>153.66</v>
      </c>
      <c r="R197">
        <f t="shared" si="48"/>
        <v>162.84</v>
      </c>
      <c r="S197">
        <f t="shared" si="49"/>
        <v>176.69</v>
      </c>
      <c r="T197">
        <f t="shared" si="50"/>
        <v>23.03</v>
      </c>
    </row>
    <row r="198" spans="1:20" x14ac:dyDescent="0.25">
      <c r="A198" s="7">
        <v>45944</v>
      </c>
      <c r="B198">
        <v>190.85</v>
      </c>
      <c r="C198">
        <v>192.92</v>
      </c>
      <c r="D198">
        <v>194.4</v>
      </c>
      <c r="E198">
        <v>185.88</v>
      </c>
      <c r="F198">
        <v>13.61</v>
      </c>
      <c r="G198">
        <v>-0.03</v>
      </c>
      <c r="H198" s="9">
        <f t="shared" si="46"/>
        <v>13610000</v>
      </c>
      <c r="I198" s="1">
        <f t="shared" si="36"/>
        <v>190.04142857142855</v>
      </c>
      <c r="J198" s="1">
        <f t="shared" si="43"/>
        <v>183.52349999999996</v>
      </c>
      <c r="K198" s="1">
        <f t="shared" si="42"/>
        <v>179.18019999999993</v>
      </c>
      <c r="L198">
        <f t="shared" si="44"/>
        <v>8.5200000000000102</v>
      </c>
      <c r="M198" s="1">
        <f t="shared" si="40"/>
        <v>3.0384999999999978</v>
      </c>
      <c r="N198" s="2">
        <f t="shared" si="45"/>
        <v>0.32516317178169696</v>
      </c>
      <c r="O198">
        <f t="shared" si="37"/>
        <v>2.9185827912057778E-2</v>
      </c>
      <c r="P198" s="16">
        <f t="shared" si="41"/>
        <v>9355714.2857142854</v>
      </c>
      <c r="Q198">
        <f t="shared" si="47"/>
        <v>153.66</v>
      </c>
      <c r="R198">
        <f t="shared" si="48"/>
        <v>162.84</v>
      </c>
      <c r="S198">
        <f t="shared" si="49"/>
        <v>176.69</v>
      </c>
      <c r="T198">
        <f t="shared" si="50"/>
        <v>23.03</v>
      </c>
    </row>
    <row r="199" spans="1:20" x14ac:dyDescent="0.25">
      <c r="A199" s="7">
        <v>45945</v>
      </c>
      <c r="B199">
        <v>191.17</v>
      </c>
      <c r="C199">
        <v>191.48</v>
      </c>
      <c r="D199">
        <v>193.57</v>
      </c>
      <c r="E199">
        <v>189.3</v>
      </c>
      <c r="F199">
        <v>9.4700000000000006</v>
      </c>
      <c r="G199">
        <v>0.17</v>
      </c>
      <c r="H199" s="9">
        <f t="shared" si="46"/>
        <v>9470000</v>
      </c>
      <c r="I199" s="1">
        <f t="shared" si="36"/>
        <v>190.47142857142856</v>
      </c>
      <c r="J199" s="1">
        <f t="shared" si="43"/>
        <v>184.22200000000001</v>
      </c>
      <c r="K199" s="1">
        <f t="shared" si="42"/>
        <v>179.58879999999994</v>
      </c>
      <c r="L199">
        <f t="shared" si="44"/>
        <v>4.2699999999999818</v>
      </c>
      <c r="M199" s="1">
        <f t="shared" si="40"/>
        <v>3.1559999999999975</v>
      </c>
      <c r="N199" s="2">
        <f t="shared" si="45"/>
        <v>0.3273850854048046</v>
      </c>
      <c r="O199">
        <f t="shared" si="37"/>
        <v>2.4254101220569865E-2</v>
      </c>
      <c r="P199" s="16">
        <f t="shared" si="41"/>
        <v>9427619.0476190485</v>
      </c>
      <c r="Q199">
        <f t="shared" si="47"/>
        <v>153.66</v>
      </c>
      <c r="R199">
        <f t="shared" si="48"/>
        <v>162.84</v>
      </c>
      <c r="S199">
        <f t="shared" si="49"/>
        <v>176.69</v>
      </c>
      <c r="T199">
        <f t="shared" si="50"/>
        <v>23.03</v>
      </c>
    </row>
    <row r="200" spans="1:20" x14ac:dyDescent="0.25">
      <c r="A200" s="7">
        <v>45946</v>
      </c>
      <c r="B200">
        <v>192.12</v>
      </c>
      <c r="C200">
        <v>191.34</v>
      </c>
      <c r="D200">
        <v>193.05</v>
      </c>
      <c r="E200">
        <v>190.43</v>
      </c>
      <c r="F200">
        <v>10.61</v>
      </c>
      <c r="G200">
        <v>0.5</v>
      </c>
      <c r="H200" s="9">
        <f t="shared" si="46"/>
        <v>10610000</v>
      </c>
      <c r="I200" s="1">
        <f t="shared" si="36"/>
        <v>190.93285714285716</v>
      </c>
      <c r="J200" s="1">
        <f t="shared" si="43"/>
        <v>185.11999999999998</v>
      </c>
      <c r="K200" s="1">
        <f t="shared" si="42"/>
        <v>180.01939999999999</v>
      </c>
      <c r="L200">
        <f t="shared" si="44"/>
        <v>2.6200000000000045</v>
      </c>
      <c r="M200" s="1">
        <f t="shared" si="40"/>
        <v>3.1294999999999975</v>
      </c>
      <c r="N200" s="2">
        <f t="shared" si="45"/>
        <v>0.33398139147340644</v>
      </c>
      <c r="O200">
        <f t="shared" si="37"/>
        <v>1.9779181140696878E-2</v>
      </c>
      <c r="P200" s="16">
        <f t="shared" si="41"/>
        <v>9612857.1428571437</v>
      </c>
      <c r="Q200">
        <f t="shared" si="47"/>
        <v>153.66</v>
      </c>
      <c r="R200">
        <f t="shared" si="48"/>
        <v>162.84</v>
      </c>
      <c r="S200">
        <f t="shared" si="49"/>
        <v>176.69</v>
      </c>
      <c r="T200">
        <f t="shared" si="50"/>
        <v>23.03</v>
      </c>
    </row>
    <row r="201" spans="1:20" x14ac:dyDescent="0.25">
      <c r="A201" s="7">
        <v>45947</v>
      </c>
      <c r="B201">
        <v>193.22</v>
      </c>
      <c r="C201">
        <v>192.5</v>
      </c>
      <c r="D201">
        <v>193.6</v>
      </c>
      <c r="E201">
        <v>191.68</v>
      </c>
      <c r="F201">
        <v>7.76</v>
      </c>
      <c r="G201">
        <v>0.56999999999999995</v>
      </c>
      <c r="H201" s="9">
        <f t="shared" si="46"/>
        <v>7760000</v>
      </c>
      <c r="I201" s="1">
        <f t="shared" si="36"/>
        <v>191.43714285714287</v>
      </c>
      <c r="J201" s="1">
        <f t="shared" si="43"/>
        <v>185.97149999999999</v>
      </c>
      <c r="K201" s="1">
        <f t="shared" si="42"/>
        <v>180.45320000000001</v>
      </c>
      <c r="L201">
        <f t="shared" si="44"/>
        <v>1.9199999999999875</v>
      </c>
      <c r="M201" s="1">
        <f t="shared" si="40"/>
        <v>3.0339999999999976</v>
      </c>
      <c r="N201" s="2">
        <f t="shared" si="45"/>
        <v>0.3416192195528398</v>
      </c>
      <c r="O201">
        <f t="shared" si="37"/>
        <v>1.6086115625969823E-2</v>
      </c>
      <c r="P201" s="16">
        <f t="shared" si="41"/>
        <v>9591904.7619047612</v>
      </c>
      <c r="Q201">
        <f t="shared" si="47"/>
        <v>153.66</v>
      </c>
      <c r="R201">
        <f t="shared" si="48"/>
        <v>162.84</v>
      </c>
      <c r="S201">
        <f t="shared" si="49"/>
        <v>176.69</v>
      </c>
      <c r="T201">
        <f t="shared" si="50"/>
        <v>23.03</v>
      </c>
    </row>
    <row r="202" spans="1:20" x14ac:dyDescent="0.25">
      <c r="A202" s="7">
        <v>45950</v>
      </c>
      <c r="B202">
        <v>193.72</v>
      </c>
      <c r="C202">
        <v>193.5</v>
      </c>
      <c r="D202">
        <v>194.48</v>
      </c>
      <c r="E202">
        <v>192.33</v>
      </c>
      <c r="F202">
        <v>8.0299999999999994</v>
      </c>
      <c r="G202">
        <v>0.26</v>
      </c>
      <c r="H202" s="9">
        <f t="shared" si="46"/>
        <v>8029999.9999999991</v>
      </c>
      <c r="I202" s="1">
        <f t="shared" ref="I202:I221" si="51">AVERAGE(B196:B202)</f>
        <v>191.81428571428572</v>
      </c>
      <c r="J202" s="1">
        <f t="shared" si="43"/>
        <v>186.94699999999997</v>
      </c>
      <c r="K202" s="1">
        <f t="shared" si="42"/>
        <v>180.86099999999996</v>
      </c>
      <c r="L202">
        <f t="shared" si="44"/>
        <v>2.1499999999999773</v>
      </c>
      <c r="M202" s="1">
        <f t="shared" si="40"/>
        <v>3.0154999999999972</v>
      </c>
      <c r="N202" s="2">
        <f t="shared" si="45"/>
        <v>0.34509095958894598</v>
      </c>
      <c r="O202">
        <f t="shared" si="37"/>
        <v>1.5692939765416962E-2</v>
      </c>
      <c r="P202" s="16">
        <f t="shared" si="41"/>
        <v>8754285.7142857146</v>
      </c>
      <c r="Q202">
        <f t="shared" si="47"/>
        <v>153.66</v>
      </c>
      <c r="R202">
        <f t="shared" si="48"/>
        <v>162.84</v>
      </c>
      <c r="S202">
        <f t="shared" si="49"/>
        <v>176.69</v>
      </c>
      <c r="T202">
        <f t="shared" si="50"/>
        <v>23.03</v>
      </c>
    </row>
    <row r="203" spans="1:20" x14ac:dyDescent="0.25">
      <c r="A203" s="7">
        <v>45951</v>
      </c>
      <c r="B203">
        <v>191.88</v>
      </c>
      <c r="C203">
        <v>193.01</v>
      </c>
      <c r="D203">
        <v>193.55</v>
      </c>
      <c r="E203">
        <v>191.77</v>
      </c>
      <c r="F203">
        <v>6.72</v>
      </c>
      <c r="G203">
        <v>-0.95</v>
      </c>
      <c r="H203" s="9">
        <f t="shared" si="46"/>
        <v>6720000</v>
      </c>
      <c r="I203" s="1">
        <f t="shared" si="51"/>
        <v>191.98000000000002</v>
      </c>
      <c r="J203" s="1">
        <f t="shared" si="43"/>
        <v>187.71199999999999</v>
      </c>
      <c r="K203" s="1">
        <f t="shared" si="42"/>
        <v>181.22219999999993</v>
      </c>
      <c r="L203">
        <f t="shared" si="44"/>
        <v>1.7800000000000011</v>
      </c>
      <c r="M203" s="1">
        <f t="shared" si="40"/>
        <v>2.9974999999999978</v>
      </c>
      <c r="N203" s="2">
        <f t="shared" si="45"/>
        <v>0.33231495625607543</v>
      </c>
      <c r="O203">
        <f t="shared" si="37"/>
        <v>1.3890130402281778E-2</v>
      </c>
      <c r="P203" s="16">
        <f t="shared" si="41"/>
        <v>8731904.7619047612</v>
      </c>
      <c r="Q203">
        <f t="shared" si="47"/>
        <v>153.66</v>
      </c>
      <c r="R203">
        <f t="shared" si="48"/>
        <v>162.84</v>
      </c>
      <c r="S203">
        <f t="shared" si="49"/>
        <v>176.69</v>
      </c>
      <c r="T203">
        <f t="shared" si="50"/>
        <v>23.03</v>
      </c>
    </row>
    <row r="204" spans="1:20" x14ac:dyDescent="0.25">
      <c r="A204" s="7">
        <v>45952</v>
      </c>
      <c r="B204">
        <v>192.94</v>
      </c>
      <c r="C204">
        <v>192</v>
      </c>
      <c r="D204">
        <v>193.45</v>
      </c>
      <c r="E204">
        <v>191.77</v>
      </c>
      <c r="F204">
        <v>6.34</v>
      </c>
      <c r="G204">
        <v>0.55000000000000004</v>
      </c>
      <c r="H204" s="9">
        <f t="shared" si="46"/>
        <v>6340000</v>
      </c>
      <c r="I204" s="1">
        <f t="shared" si="51"/>
        <v>192.27142857142857</v>
      </c>
      <c r="J204" s="1">
        <f t="shared" si="43"/>
        <v>188.52449999999999</v>
      </c>
      <c r="K204" s="1">
        <f t="shared" si="42"/>
        <v>181.62539999999993</v>
      </c>
      <c r="L204">
        <f t="shared" si="44"/>
        <v>1.6799999999999784</v>
      </c>
      <c r="M204" s="1">
        <f t="shared" si="40"/>
        <v>3.0209999999999981</v>
      </c>
      <c r="N204" s="2">
        <f t="shared" si="45"/>
        <v>0.33967504513262026</v>
      </c>
      <c r="O204">
        <f t="shared" si="37"/>
        <v>1.1449792237060528E-2</v>
      </c>
      <c r="P204" s="16">
        <f t="shared" si="41"/>
        <v>8636190.4761904757</v>
      </c>
      <c r="Q204">
        <f t="shared" si="47"/>
        <v>153.66</v>
      </c>
      <c r="R204">
        <f t="shared" si="48"/>
        <v>162.84</v>
      </c>
      <c r="S204">
        <f t="shared" si="49"/>
        <v>176.69</v>
      </c>
      <c r="T204">
        <f t="shared" si="50"/>
        <v>23.03</v>
      </c>
    </row>
    <row r="205" spans="1:20" x14ac:dyDescent="0.25">
      <c r="A205" s="7">
        <v>45953</v>
      </c>
      <c r="B205">
        <v>192.47</v>
      </c>
      <c r="C205">
        <v>192.56</v>
      </c>
      <c r="D205">
        <v>194</v>
      </c>
      <c r="E205">
        <v>191.54</v>
      </c>
      <c r="F205">
        <v>8.8800000000000008</v>
      </c>
      <c r="G205">
        <v>-0.24</v>
      </c>
      <c r="H205" s="9">
        <f t="shared" si="46"/>
        <v>8880000</v>
      </c>
      <c r="I205" s="1">
        <f t="shared" si="51"/>
        <v>192.50285714285715</v>
      </c>
      <c r="J205" s="1">
        <f t="shared" si="43"/>
        <v>189.26149999999998</v>
      </c>
      <c r="K205" s="1">
        <f t="shared" si="42"/>
        <v>181.98639999999995</v>
      </c>
      <c r="L205">
        <f t="shared" si="44"/>
        <v>2.460000000000008</v>
      </c>
      <c r="M205" s="1">
        <f t="shared" si="40"/>
        <v>3.0194999999999981</v>
      </c>
      <c r="N205" s="2">
        <f t="shared" si="45"/>
        <v>0.33641160949868065</v>
      </c>
      <c r="O205">
        <f t="shared" si="37"/>
        <v>1.0760511802544614E-2</v>
      </c>
      <c r="P205" s="16">
        <f t="shared" si="41"/>
        <v>8740952.3809523806</v>
      </c>
      <c r="Q205">
        <f t="shared" si="47"/>
        <v>153.66</v>
      </c>
      <c r="R205">
        <f t="shared" si="48"/>
        <v>162.84</v>
      </c>
      <c r="S205">
        <f t="shared" si="49"/>
        <v>176.69</v>
      </c>
      <c r="T205">
        <f t="shared" si="50"/>
        <v>23.03</v>
      </c>
    </row>
    <row r="206" spans="1:20" x14ac:dyDescent="0.25">
      <c r="A206" s="7">
        <v>45954</v>
      </c>
      <c r="B206">
        <v>190.4</v>
      </c>
      <c r="C206">
        <v>192.2</v>
      </c>
      <c r="D206">
        <v>192.31</v>
      </c>
      <c r="E206">
        <v>189.42</v>
      </c>
      <c r="F206">
        <v>6.9</v>
      </c>
      <c r="G206">
        <v>-1.08</v>
      </c>
      <c r="H206" s="9">
        <f t="shared" si="46"/>
        <v>6900000</v>
      </c>
      <c r="I206" s="1">
        <f t="shared" si="51"/>
        <v>192.39285714285717</v>
      </c>
      <c r="J206" s="1">
        <f t="shared" si="43"/>
        <v>189.79599999999996</v>
      </c>
      <c r="K206" s="1">
        <f t="shared" si="42"/>
        <v>182.29999999999995</v>
      </c>
      <c r="L206">
        <f t="shared" si="44"/>
        <v>2.8900000000000148</v>
      </c>
      <c r="M206" s="1">
        <f t="shared" si="40"/>
        <v>3.0344999999999986</v>
      </c>
      <c r="N206" s="2">
        <f t="shared" si="45"/>
        <v>0.32203860574920151</v>
      </c>
      <c r="O206">
        <f t="shared" si="37"/>
        <v>9.1553253255984152E-3</v>
      </c>
      <c r="P206" s="16">
        <f t="shared" si="41"/>
        <v>8666190.4761904757</v>
      </c>
      <c r="Q206">
        <f t="shared" si="47"/>
        <v>153.66</v>
      </c>
      <c r="R206">
        <f t="shared" si="48"/>
        <v>162.84</v>
      </c>
      <c r="S206">
        <f t="shared" si="49"/>
        <v>176.69</v>
      </c>
      <c r="T206">
        <f t="shared" si="50"/>
        <v>23.03</v>
      </c>
    </row>
    <row r="207" spans="1:20" x14ac:dyDescent="0.25">
      <c r="A207" s="7">
        <v>45957</v>
      </c>
      <c r="B207">
        <v>190.3</v>
      </c>
      <c r="C207">
        <v>189.99</v>
      </c>
      <c r="D207">
        <v>190.8</v>
      </c>
      <c r="E207">
        <v>189.53</v>
      </c>
      <c r="F207">
        <v>7.13</v>
      </c>
      <c r="G207">
        <v>-0.05</v>
      </c>
      <c r="H207" s="9">
        <f t="shared" si="46"/>
        <v>7130000</v>
      </c>
      <c r="I207" s="1">
        <f t="shared" si="51"/>
        <v>192.13285714285715</v>
      </c>
      <c r="J207" s="1">
        <f t="shared" si="43"/>
        <v>190.23</v>
      </c>
      <c r="K207" s="1">
        <f t="shared" si="42"/>
        <v>182.57319999999996</v>
      </c>
      <c r="L207">
        <f t="shared" si="44"/>
        <v>1.2700000000000102</v>
      </c>
      <c r="M207" s="1">
        <f t="shared" si="40"/>
        <v>2.9944999999999995</v>
      </c>
      <c r="N207" s="2">
        <f t="shared" si="45"/>
        <v>0.32134425774198028</v>
      </c>
      <c r="O207">
        <f t="shared" si="37"/>
        <v>8.092588196914139E-3</v>
      </c>
      <c r="P207" s="16">
        <f t="shared" si="41"/>
        <v>8594761.9047619049</v>
      </c>
      <c r="Q207">
        <f t="shared" si="47"/>
        <v>153.66</v>
      </c>
      <c r="R207">
        <f t="shared" si="48"/>
        <v>162.84</v>
      </c>
      <c r="S207">
        <f t="shared" si="49"/>
        <v>176.69</v>
      </c>
      <c r="T207">
        <f t="shared" si="50"/>
        <v>23.03</v>
      </c>
    </row>
    <row r="208" spans="1:20" x14ac:dyDescent="0.25">
      <c r="A208" s="7">
        <v>45958</v>
      </c>
      <c r="B208">
        <v>186.93</v>
      </c>
      <c r="C208">
        <v>189.26</v>
      </c>
      <c r="D208">
        <v>189.51</v>
      </c>
      <c r="E208">
        <v>186.62</v>
      </c>
      <c r="F208">
        <v>8.33</v>
      </c>
      <c r="G208">
        <v>-1.77</v>
      </c>
      <c r="H208" s="9">
        <f t="shared" si="46"/>
        <v>8330000</v>
      </c>
      <c r="I208" s="1">
        <f t="shared" si="51"/>
        <v>191.23428571428573</v>
      </c>
      <c r="J208" s="1">
        <f t="shared" si="43"/>
        <v>190.30549999999997</v>
      </c>
      <c r="K208" s="1">
        <f t="shared" si="42"/>
        <v>182.78679999999997</v>
      </c>
      <c r="L208">
        <f t="shared" si="44"/>
        <v>2.8899999999999864</v>
      </c>
      <c r="M208" s="1">
        <f t="shared" si="40"/>
        <v>2.892999999999998</v>
      </c>
      <c r="N208" s="2">
        <f t="shared" si="45"/>
        <v>0.29794472989862508</v>
      </c>
      <c r="O208">
        <f t="shared" ref="O208:O221" si="52">_xlfn.STDEV.P(N195:N208)</f>
        <v>1.1174988725002491E-2</v>
      </c>
      <c r="P208" s="16">
        <f t="shared" si="41"/>
        <v>8581904.7619047612</v>
      </c>
      <c r="Q208">
        <f t="shared" si="47"/>
        <v>153.66</v>
      </c>
      <c r="R208">
        <f t="shared" si="48"/>
        <v>162.84</v>
      </c>
      <c r="S208">
        <f t="shared" si="49"/>
        <v>176.69</v>
      </c>
      <c r="T208">
        <f t="shared" si="50"/>
        <v>23.03</v>
      </c>
    </row>
    <row r="209" spans="1:20" x14ac:dyDescent="0.25">
      <c r="A209" s="7">
        <v>45959</v>
      </c>
      <c r="B209">
        <v>186.6</v>
      </c>
      <c r="C209">
        <v>186.7</v>
      </c>
      <c r="D209">
        <v>187.1</v>
      </c>
      <c r="E209">
        <v>184.66</v>
      </c>
      <c r="F209">
        <v>10.55</v>
      </c>
      <c r="G209">
        <v>-0.18</v>
      </c>
      <c r="H209" s="9">
        <f t="shared" si="46"/>
        <v>10550000</v>
      </c>
      <c r="I209" s="1">
        <f t="shared" si="51"/>
        <v>190.21714285714285</v>
      </c>
      <c r="J209" s="1">
        <f t="shared" si="43"/>
        <v>190.33299999999997</v>
      </c>
      <c r="K209" s="1">
        <f t="shared" si="42"/>
        <v>182.96279999999999</v>
      </c>
      <c r="L209">
        <f t="shared" si="44"/>
        <v>2.4399999999999977</v>
      </c>
      <c r="M209" s="1">
        <f t="shared" si="40"/>
        <v>2.8824999999999976</v>
      </c>
      <c r="N209" s="2">
        <f t="shared" si="45"/>
        <v>0.29565338147479503</v>
      </c>
      <c r="O209">
        <f t="shared" si="52"/>
        <v>1.4033898221081587E-2</v>
      </c>
      <c r="P209" s="16">
        <f t="shared" si="41"/>
        <v>8533333.333333334</v>
      </c>
      <c r="Q209">
        <f t="shared" si="47"/>
        <v>153.66</v>
      </c>
      <c r="R209">
        <f t="shared" si="48"/>
        <v>162.84</v>
      </c>
      <c r="S209">
        <f t="shared" si="49"/>
        <v>176.69</v>
      </c>
      <c r="T209">
        <f t="shared" si="50"/>
        <v>23.03</v>
      </c>
    </row>
    <row r="210" spans="1:20" x14ac:dyDescent="0.25">
      <c r="A210" s="7">
        <v>45960</v>
      </c>
      <c r="B210">
        <v>189.05</v>
      </c>
      <c r="C210">
        <v>187.08</v>
      </c>
      <c r="D210">
        <v>189.38</v>
      </c>
      <c r="E210">
        <v>186.91</v>
      </c>
      <c r="F210">
        <v>7.07</v>
      </c>
      <c r="G210">
        <v>1.31</v>
      </c>
      <c r="H210" s="9">
        <f t="shared" si="46"/>
        <v>7070000</v>
      </c>
      <c r="I210" s="1">
        <f t="shared" si="51"/>
        <v>189.81285714285713</v>
      </c>
      <c r="J210" s="1">
        <f t="shared" si="43"/>
        <v>190.48649999999998</v>
      </c>
      <c r="K210" s="1">
        <f t="shared" si="42"/>
        <v>183.16699999999997</v>
      </c>
      <c r="L210">
        <f t="shared" si="44"/>
        <v>2.4699999999999989</v>
      </c>
      <c r="M210" s="1">
        <f t="shared" si="40"/>
        <v>2.8809999999999976</v>
      </c>
      <c r="N210" s="2">
        <f t="shared" si="45"/>
        <v>0.31266490765171495</v>
      </c>
      <c r="O210">
        <f t="shared" si="52"/>
        <v>1.4466158694790185E-2</v>
      </c>
      <c r="P210" s="16">
        <f t="shared" si="41"/>
        <v>8248095.2380952379</v>
      </c>
      <c r="Q210">
        <f t="shared" si="47"/>
        <v>153.66</v>
      </c>
      <c r="R210">
        <f t="shared" si="48"/>
        <v>162.84</v>
      </c>
      <c r="S210">
        <f t="shared" si="49"/>
        <v>176.69</v>
      </c>
      <c r="T210">
        <f t="shared" si="50"/>
        <v>23.03</v>
      </c>
    </row>
    <row r="211" spans="1:20" x14ac:dyDescent="0.25">
      <c r="A211" s="7">
        <v>45961</v>
      </c>
      <c r="B211">
        <v>188.87</v>
      </c>
      <c r="C211">
        <v>187.46</v>
      </c>
      <c r="D211">
        <v>189.5</v>
      </c>
      <c r="E211">
        <v>186.76</v>
      </c>
      <c r="F211">
        <v>8.7899999999999991</v>
      </c>
      <c r="G211">
        <v>-0.1</v>
      </c>
      <c r="H211" s="9">
        <f t="shared" si="46"/>
        <v>8790000</v>
      </c>
      <c r="I211" s="1">
        <f t="shared" si="51"/>
        <v>189.23142857142861</v>
      </c>
      <c r="J211" s="1">
        <f t="shared" si="43"/>
        <v>190.49799999999999</v>
      </c>
      <c r="K211" s="1">
        <f t="shared" si="42"/>
        <v>183.36580000000001</v>
      </c>
      <c r="L211">
        <f t="shared" si="44"/>
        <v>2.7400000000000091</v>
      </c>
      <c r="M211" s="1">
        <f t="shared" si="40"/>
        <v>2.8744999999999976</v>
      </c>
      <c r="N211" s="2">
        <f t="shared" si="45"/>
        <v>0.31141508123871686</v>
      </c>
      <c r="O211">
        <f t="shared" si="52"/>
        <v>1.4912992168604606E-2</v>
      </c>
      <c r="P211" s="16">
        <f t="shared" si="41"/>
        <v>8298571.4285714282</v>
      </c>
      <c r="Q211">
        <f t="shared" si="47"/>
        <v>153.66</v>
      </c>
      <c r="R211">
        <f t="shared" si="48"/>
        <v>162.84</v>
      </c>
      <c r="S211">
        <f t="shared" si="49"/>
        <v>176.69</v>
      </c>
      <c r="T211">
        <f t="shared" si="50"/>
        <v>23.03</v>
      </c>
    </row>
    <row r="212" spans="1:20" x14ac:dyDescent="0.25">
      <c r="A212" s="7">
        <v>45964</v>
      </c>
      <c r="B212">
        <v>186.26</v>
      </c>
      <c r="C212">
        <v>189</v>
      </c>
      <c r="D212">
        <v>189.03</v>
      </c>
      <c r="E212">
        <v>185.52</v>
      </c>
      <c r="F212">
        <v>7.54</v>
      </c>
      <c r="G212">
        <v>-1.38</v>
      </c>
      <c r="H212" s="9">
        <f t="shared" si="46"/>
        <v>7540000</v>
      </c>
      <c r="I212" s="1">
        <f t="shared" si="51"/>
        <v>188.34428571428572</v>
      </c>
      <c r="J212" s="1">
        <f t="shared" si="43"/>
        <v>190.40300000000002</v>
      </c>
      <c r="K212" s="1">
        <f t="shared" ref="K212:K243" si="53">AVERAGE(B163:B212)</f>
        <v>183.5052</v>
      </c>
      <c r="L212">
        <f t="shared" si="44"/>
        <v>3.5099999999999909</v>
      </c>
      <c r="M212" s="1">
        <f t="shared" si="40"/>
        <v>2.9224999999999981</v>
      </c>
      <c r="N212" s="2">
        <f t="shared" si="45"/>
        <v>0.29329259825024279</v>
      </c>
      <c r="O212">
        <f t="shared" si="52"/>
        <v>1.6930778164775919E-2</v>
      </c>
      <c r="P212" s="16">
        <f t="shared" si="41"/>
        <v>8244285.7142857146</v>
      </c>
      <c r="Q212">
        <f t="shared" si="47"/>
        <v>153.66</v>
      </c>
      <c r="R212">
        <f t="shared" si="48"/>
        <v>162.84</v>
      </c>
      <c r="S212">
        <f t="shared" si="49"/>
        <v>176.69</v>
      </c>
      <c r="T212">
        <f t="shared" si="50"/>
        <v>23.03</v>
      </c>
    </row>
    <row r="213" spans="1:20" x14ac:dyDescent="0.25">
      <c r="A213" s="7">
        <v>45965</v>
      </c>
      <c r="B213">
        <v>186.86</v>
      </c>
      <c r="C213">
        <v>186.83</v>
      </c>
      <c r="D213">
        <v>187.82</v>
      </c>
      <c r="E213">
        <v>185.62</v>
      </c>
      <c r="F213">
        <v>7.21</v>
      </c>
      <c r="G213">
        <v>0.32</v>
      </c>
      <c r="H213" s="9">
        <f t="shared" si="46"/>
        <v>7210000</v>
      </c>
      <c r="I213" s="1">
        <f t="shared" si="51"/>
        <v>187.83857142857147</v>
      </c>
      <c r="J213" s="1">
        <f t="shared" si="43"/>
        <v>190.3015</v>
      </c>
      <c r="K213" s="1">
        <f t="shared" si="53"/>
        <v>183.67420000000001</v>
      </c>
      <c r="L213">
        <f t="shared" si="44"/>
        <v>2.1999999999999886</v>
      </c>
      <c r="M213" s="1">
        <f t="shared" si="40"/>
        <v>2.7179999999999978</v>
      </c>
      <c r="N213" s="2">
        <f t="shared" si="45"/>
        <v>0.29745868629357042</v>
      </c>
      <c r="O213">
        <f t="shared" si="52"/>
        <v>1.7997083869131521E-2</v>
      </c>
      <c r="P213" s="16">
        <f t="shared" si="41"/>
        <v>8310952.3809523806</v>
      </c>
      <c r="Q213">
        <f t="shared" si="47"/>
        <v>153.66</v>
      </c>
      <c r="R213">
        <f t="shared" si="48"/>
        <v>162.84</v>
      </c>
      <c r="S213">
        <f t="shared" si="49"/>
        <v>176.69</v>
      </c>
      <c r="T213">
        <f t="shared" si="50"/>
        <v>23.03</v>
      </c>
    </row>
    <row r="214" spans="1:20" x14ac:dyDescent="0.25">
      <c r="A214" s="7">
        <v>45966</v>
      </c>
      <c r="B214">
        <v>186</v>
      </c>
      <c r="C214">
        <v>186.64</v>
      </c>
      <c r="D214">
        <v>187.83</v>
      </c>
      <c r="E214">
        <v>185.4</v>
      </c>
      <c r="F214">
        <v>5.05</v>
      </c>
      <c r="G214">
        <v>-0.46</v>
      </c>
      <c r="H214" s="9">
        <f t="shared" si="46"/>
        <v>5050000</v>
      </c>
      <c r="I214" s="1">
        <f t="shared" si="51"/>
        <v>187.22428571428571</v>
      </c>
      <c r="J214" s="1">
        <f t="shared" ref="J214:J245" si="54">AVERAGE(B195:B214)</f>
        <v>190.11700000000002</v>
      </c>
      <c r="K214" s="1">
        <f t="shared" si="53"/>
        <v>183.86440000000002</v>
      </c>
      <c r="L214">
        <f t="shared" si="44"/>
        <v>2.4300000000000068</v>
      </c>
      <c r="M214" s="1">
        <f t="shared" si="40"/>
        <v>2.7424999999999984</v>
      </c>
      <c r="N214" s="2">
        <f t="shared" si="45"/>
        <v>0.29148729343146784</v>
      </c>
      <c r="O214">
        <f t="shared" si="52"/>
        <v>1.8952082396093965E-2</v>
      </c>
      <c r="P214" s="16">
        <f t="shared" si="41"/>
        <v>8133333.333333333</v>
      </c>
      <c r="Q214">
        <f t="shared" si="47"/>
        <v>153.66</v>
      </c>
      <c r="R214">
        <f t="shared" si="48"/>
        <v>162.84</v>
      </c>
      <c r="S214">
        <f t="shared" si="49"/>
        <v>176.69</v>
      </c>
      <c r="T214">
        <f t="shared" si="50"/>
        <v>23.03</v>
      </c>
    </row>
    <row r="215" spans="1:20" x14ac:dyDescent="0.25">
      <c r="A215" s="7">
        <v>45967</v>
      </c>
      <c r="B215">
        <v>186.97</v>
      </c>
      <c r="C215">
        <v>186.76</v>
      </c>
      <c r="D215">
        <v>187.52</v>
      </c>
      <c r="E215">
        <v>185.37</v>
      </c>
      <c r="F215">
        <v>6.77</v>
      </c>
      <c r="G215">
        <v>0.52</v>
      </c>
      <c r="H215" s="9">
        <f t="shared" si="46"/>
        <v>6770000</v>
      </c>
      <c r="I215" s="1">
        <f t="shared" si="51"/>
        <v>187.23</v>
      </c>
      <c r="J215" s="1">
        <f t="shared" si="54"/>
        <v>189.91149999999999</v>
      </c>
      <c r="K215" s="1">
        <f t="shared" si="53"/>
        <v>184.06800000000004</v>
      </c>
      <c r="L215">
        <f t="shared" si="44"/>
        <v>2.1500000000000057</v>
      </c>
      <c r="M215" s="1">
        <f t="shared" ref="M215:M221" si="55">AVERAGE(L196:L215)</f>
        <v>2.7314999999999983</v>
      </c>
      <c r="N215" s="2">
        <f t="shared" si="45"/>
        <v>0.29822246910151362</v>
      </c>
      <c r="O215">
        <f t="shared" si="52"/>
        <v>1.8211181588198396E-2</v>
      </c>
      <c r="P215" s="16">
        <f t="shared" ref="P215:P218" si="56">AVERAGE(H195:H215)</f>
        <v>8181904.7619047621</v>
      </c>
      <c r="Q215">
        <f t="shared" si="47"/>
        <v>153.66</v>
      </c>
      <c r="R215">
        <f t="shared" si="48"/>
        <v>162.84</v>
      </c>
      <c r="S215">
        <f t="shared" si="49"/>
        <v>176.69</v>
      </c>
      <c r="T215">
        <f t="shared" si="50"/>
        <v>23.03</v>
      </c>
    </row>
    <row r="216" spans="1:20" x14ac:dyDescent="0.25">
      <c r="A216" s="7">
        <v>45968</v>
      </c>
      <c r="B216">
        <v>186.57</v>
      </c>
      <c r="C216">
        <v>187.74</v>
      </c>
      <c r="D216">
        <v>188.35</v>
      </c>
      <c r="E216">
        <v>185.7</v>
      </c>
      <c r="F216">
        <v>6.96</v>
      </c>
      <c r="G216">
        <v>-0.21</v>
      </c>
      <c r="H216" s="9">
        <f t="shared" si="46"/>
        <v>6960000</v>
      </c>
      <c r="I216" s="1">
        <f t="shared" si="51"/>
        <v>187.22571428571428</v>
      </c>
      <c r="J216" s="1">
        <f t="shared" si="54"/>
        <v>189.70400000000001</v>
      </c>
      <c r="K216" s="1">
        <f t="shared" si="53"/>
        <v>184.29040000000001</v>
      </c>
      <c r="L216">
        <f t="shared" si="44"/>
        <v>2.6500000000000057</v>
      </c>
      <c r="M216" s="1">
        <f t="shared" si="55"/>
        <v>2.7529999999999988</v>
      </c>
      <c r="N216" s="2">
        <f t="shared" si="45"/>
        <v>0.29544507707262868</v>
      </c>
      <c r="O216">
        <f t="shared" si="52"/>
        <v>1.6556521060953028E-2</v>
      </c>
      <c r="P216" s="16">
        <f t="shared" si="56"/>
        <v>8157142.8571428573</v>
      </c>
      <c r="Q216">
        <f t="shared" si="47"/>
        <v>153.66</v>
      </c>
      <c r="R216">
        <f t="shared" si="48"/>
        <v>162.84</v>
      </c>
      <c r="S216">
        <f t="shared" si="49"/>
        <v>176.69</v>
      </c>
      <c r="T216">
        <f t="shared" si="50"/>
        <v>23.03</v>
      </c>
    </row>
    <row r="217" spans="1:20" x14ac:dyDescent="0.25">
      <c r="A217" s="7">
        <v>45971</v>
      </c>
      <c r="B217">
        <v>188.41</v>
      </c>
      <c r="C217">
        <v>186</v>
      </c>
      <c r="D217">
        <v>188.42</v>
      </c>
      <c r="E217">
        <v>185.12</v>
      </c>
      <c r="F217">
        <v>5.32</v>
      </c>
      <c r="G217">
        <v>0.99</v>
      </c>
      <c r="H217" s="9">
        <f t="shared" si="46"/>
        <v>5320000</v>
      </c>
      <c r="I217" s="1">
        <f t="shared" si="51"/>
        <v>187.13428571428571</v>
      </c>
      <c r="J217" s="1">
        <f t="shared" si="54"/>
        <v>189.5795</v>
      </c>
      <c r="K217" s="1">
        <f t="shared" si="53"/>
        <v>184.51519999999999</v>
      </c>
      <c r="L217">
        <f t="shared" si="44"/>
        <v>3.2999999999999829</v>
      </c>
      <c r="M217" s="1">
        <f t="shared" si="55"/>
        <v>2.8169999999999975</v>
      </c>
      <c r="N217" s="2">
        <f t="shared" si="45"/>
        <v>0.30822108040549923</v>
      </c>
      <c r="O217">
        <f t="shared" si="52"/>
        <v>1.5399161286399232E-2</v>
      </c>
      <c r="P217" s="16">
        <f t="shared" si="56"/>
        <v>7953333.333333333</v>
      </c>
      <c r="Q217">
        <f t="shared" si="47"/>
        <v>153.66</v>
      </c>
      <c r="R217">
        <f t="shared" si="48"/>
        <v>162.84</v>
      </c>
      <c r="S217">
        <f t="shared" si="49"/>
        <v>176.69</v>
      </c>
      <c r="T217">
        <f t="shared" si="50"/>
        <v>23.03</v>
      </c>
    </row>
    <row r="218" spans="1:20" x14ac:dyDescent="0.25">
      <c r="A218" s="7">
        <v>45972</v>
      </c>
      <c r="B218">
        <v>193.83</v>
      </c>
      <c r="C218">
        <v>189.38</v>
      </c>
      <c r="D218">
        <v>193.92</v>
      </c>
      <c r="E218">
        <v>189.05</v>
      </c>
      <c r="F218">
        <v>7.47</v>
      </c>
      <c r="G218">
        <v>2.88</v>
      </c>
      <c r="H218" s="9">
        <f t="shared" si="46"/>
        <v>7470000</v>
      </c>
      <c r="I218" s="1">
        <f t="shared" si="51"/>
        <v>187.84285714285716</v>
      </c>
      <c r="J218" s="1">
        <f t="shared" ref="J218:J221" si="57">AVERAGE(B199:B218)</f>
        <v>189.7285</v>
      </c>
      <c r="K218" s="1">
        <f t="shared" ref="K218:K221" si="58">AVERAGE(B169:B218)</f>
        <v>184.8306</v>
      </c>
      <c r="L218">
        <f t="shared" ref="L218:L221" si="59">D218-E218</f>
        <v>4.8699999999999761</v>
      </c>
      <c r="M218" s="1">
        <f t="shared" si="55"/>
        <v>2.6344999999999956</v>
      </c>
      <c r="N218" s="2">
        <f t="shared" ref="N218:N221" si="60">(B218/$B$3)-1</f>
        <v>0.3458547423968894</v>
      </c>
      <c r="O218">
        <f t="shared" si="52"/>
        <v>1.6341523994444405E-2</v>
      </c>
      <c r="P218" s="16">
        <f t="shared" si="56"/>
        <v>7929047.6190476194</v>
      </c>
      <c r="Q218">
        <f t="shared" si="47"/>
        <v>153.66</v>
      </c>
      <c r="R218">
        <f t="shared" si="48"/>
        <v>162.84</v>
      </c>
      <c r="S218">
        <f t="shared" si="49"/>
        <v>176.69</v>
      </c>
      <c r="T218">
        <f t="shared" si="50"/>
        <v>23.03</v>
      </c>
    </row>
    <row r="219" spans="1:20" x14ac:dyDescent="0.25">
      <c r="A219" s="7">
        <v>45973</v>
      </c>
      <c r="B219">
        <v>194.39</v>
      </c>
      <c r="C219">
        <v>193.36</v>
      </c>
      <c r="D219">
        <v>195.54</v>
      </c>
      <c r="E219">
        <v>193.07</v>
      </c>
      <c r="F219">
        <v>8.8000000000000007</v>
      </c>
      <c r="G219">
        <v>0.28999999999999998</v>
      </c>
      <c r="H219" s="9">
        <f t="shared" si="46"/>
        <v>8800000</v>
      </c>
      <c r="I219" s="1">
        <f t="shared" si="51"/>
        <v>189.00428571428574</v>
      </c>
      <c r="J219" s="1">
        <f t="shared" si="57"/>
        <v>189.8895</v>
      </c>
      <c r="K219" s="1">
        <f t="shared" si="58"/>
        <v>185.15839999999997</v>
      </c>
      <c r="L219">
        <f t="shared" si="59"/>
        <v>2.4699999999999989</v>
      </c>
      <c r="M219" s="1">
        <f t="shared" si="55"/>
        <v>2.5444999999999967</v>
      </c>
      <c r="N219" s="2">
        <f t="shared" si="60"/>
        <v>0.34974309123732805</v>
      </c>
      <c r="O219">
        <f t="shared" si="52"/>
        <v>1.8189034810421022E-2</v>
      </c>
      <c r="Q219">
        <f t="shared" si="47"/>
        <v>153.66</v>
      </c>
      <c r="R219">
        <f t="shared" si="48"/>
        <v>162.84</v>
      </c>
      <c r="S219">
        <f t="shared" si="49"/>
        <v>176.69</v>
      </c>
      <c r="T219">
        <f t="shared" si="50"/>
        <v>23.03</v>
      </c>
    </row>
    <row r="220" spans="1:20" x14ac:dyDescent="0.25">
      <c r="A220" s="7">
        <v>45974</v>
      </c>
      <c r="B220">
        <v>195.25</v>
      </c>
      <c r="C220">
        <v>194.21</v>
      </c>
      <c r="D220">
        <v>196</v>
      </c>
      <c r="E220">
        <v>193.45</v>
      </c>
      <c r="F220">
        <v>8.6300000000000008</v>
      </c>
      <c r="G220">
        <v>0.44</v>
      </c>
      <c r="H220" s="9">
        <f t="shared" si="46"/>
        <v>8630000</v>
      </c>
      <c r="I220" s="1">
        <f t="shared" si="51"/>
        <v>190.20285714285714</v>
      </c>
      <c r="J220" s="1">
        <f t="shared" si="57"/>
        <v>190.04599999999999</v>
      </c>
      <c r="K220" s="1">
        <f t="shared" si="58"/>
        <v>185.48820000000001</v>
      </c>
      <c r="L220">
        <f t="shared" si="59"/>
        <v>2.5500000000000114</v>
      </c>
      <c r="M220" s="1">
        <f t="shared" si="55"/>
        <v>2.5409999999999968</v>
      </c>
      <c r="N220" s="2">
        <f t="shared" si="60"/>
        <v>0.35571448409943063</v>
      </c>
      <c r="O220">
        <f t="shared" si="52"/>
        <v>2.1533817082569084E-2</v>
      </c>
      <c r="Q220">
        <f t="shared" si="47"/>
        <v>153.66</v>
      </c>
      <c r="R220">
        <f t="shared" si="48"/>
        <v>162.84</v>
      </c>
      <c r="S220">
        <f t="shared" si="49"/>
        <v>176.69</v>
      </c>
      <c r="T220">
        <f t="shared" si="50"/>
        <v>23.03</v>
      </c>
    </row>
    <row r="221" spans="1:20" x14ac:dyDescent="0.25">
      <c r="A221" s="7">
        <v>45975</v>
      </c>
      <c r="B221">
        <v>197.03</v>
      </c>
      <c r="C221">
        <v>195.08</v>
      </c>
      <c r="D221">
        <v>197.18</v>
      </c>
      <c r="E221">
        <v>193.55</v>
      </c>
      <c r="F221">
        <v>5</v>
      </c>
      <c r="G221">
        <v>0.91</v>
      </c>
      <c r="H221" s="9">
        <f t="shared" si="46"/>
        <v>5000000</v>
      </c>
      <c r="I221" s="1">
        <f t="shared" si="51"/>
        <v>191.77857142857144</v>
      </c>
      <c r="J221" s="1">
        <f t="shared" si="57"/>
        <v>190.23650000000001</v>
      </c>
      <c r="K221" s="1">
        <f t="shared" si="58"/>
        <v>185.86020000000005</v>
      </c>
      <c r="L221">
        <f t="shared" si="59"/>
        <v>3.6299999999999955</v>
      </c>
      <c r="M221" s="1">
        <f t="shared" si="55"/>
        <v>2.6264999999999974</v>
      </c>
      <c r="N221" s="2">
        <f t="shared" si="60"/>
        <v>0.36807387862796825</v>
      </c>
      <c r="O221">
        <f t="shared" si="52"/>
        <v>2.5842553162799983E-2</v>
      </c>
      <c r="Q221">
        <f t="shared" si="47"/>
        <v>153.66</v>
      </c>
      <c r="R221">
        <f t="shared" si="48"/>
        <v>162.84</v>
      </c>
      <c r="S221">
        <f t="shared" si="49"/>
        <v>176.69</v>
      </c>
      <c r="T221">
        <f t="shared" si="50"/>
        <v>23.03</v>
      </c>
    </row>
  </sheetData>
  <sortState xmlns:xlrd2="http://schemas.microsoft.com/office/spreadsheetml/2017/richdata2" ref="A3:G221">
    <sortCondition ref="A3:A221"/>
  </sortState>
  <mergeCells count="3">
    <mergeCell ref="Q1:T1"/>
    <mergeCell ref="A1:G1"/>
    <mergeCell ref="H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2025-11-11T21:11:55Z</dcterms:created>
  <dcterms:modified xsi:type="dcterms:W3CDTF">2025-11-14T20:26:57Z</dcterms:modified>
</cp:coreProperties>
</file>