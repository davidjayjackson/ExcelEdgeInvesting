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1_{4BB48C98-0ABF-4CC6-9B54-71121DDB27A6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US Stocks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9" i="1" l="1"/>
  <c r="Q219" i="1"/>
  <c r="A2" i="1" a="1"/>
  <c r="A2" i="1" l="1"/>
  <c r="P95" i="1" l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Q217" i="1" l="1"/>
  <c r="R217" i="1"/>
  <c r="Q209" i="1"/>
  <c r="R209" i="1"/>
  <c r="Q201" i="1"/>
  <c r="R201" i="1"/>
  <c r="Q193" i="1"/>
  <c r="R193" i="1"/>
  <c r="Q185" i="1"/>
  <c r="R185" i="1"/>
  <c r="Q177" i="1"/>
  <c r="R177" i="1"/>
  <c r="Q169" i="1"/>
  <c r="R169" i="1"/>
  <c r="Q161" i="1"/>
  <c r="R161" i="1"/>
  <c r="Q153" i="1"/>
  <c r="R153" i="1"/>
  <c r="Q145" i="1"/>
  <c r="R145" i="1"/>
  <c r="Q137" i="1"/>
  <c r="R137" i="1"/>
  <c r="Q129" i="1"/>
  <c r="R129" i="1"/>
  <c r="Q121" i="1"/>
  <c r="R121" i="1"/>
  <c r="Q113" i="1"/>
  <c r="R113" i="1"/>
  <c r="Q105" i="1"/>
  <c r="R105" i="1"/>
  <c r="Q97" i="1"/>
  <c r="R97" i="1"/>
  <c r="Q208" i="1"/>
  <c r="R208" i="1"/>
  <c r="Q152" i="1"/>
  <c r="R152" i="1"/>
  <c r="Q112" i="1"/>
  <c r="R112" i="1"/>
  <c r="Q215" i="1"/>
  <c r="R215" i="1"/>
  <c r="Q207" i="1"/>
  <c r="R207" i="1"/>
  <c r="Q199" i="1"/>
  <c r="R199" i="1"/>
  <c r="Q191" i="1"/>
  <c r="R191" i="1"/>
  <c r="Q183" i="1"/>
  <c r="R183" i="1"/>
  <c r="Q175" i="1"/>
  <c r="R175" i="1"/>
  <c r="Q167" i="1"/>
  <c r="R167" i="1"/>
  <c r="Q159" i="1"/>
  <c r="R159" i="1"/>
  <c r="Q151" i="1"/>
  <c r="R151" i="1"/>
  <c r="Q143" i="1"/>
  <c r="R143" i="1"/>
  <c r="Q135" i="1"/>
  <c r="R135" i="1"/>
  <c r="Q127" i="1"/>
  <c r="R127" i="1"/>
  <c r="Q119" i="1"/>
  <c r="R119" i="1"/>
  <c r="Q111" i="1"/>
  <c r="R111" i="1"/>
  <c r="Q103" i="1"/>
  <c r="R103" i="1"/>
  <c r="Q95" i="1"/>
  <c r="R95" i="1"/>
  <c r="Q168" i="1"/>
  <c r="R168" i="1"/>
  <c r="Q190" i="1"/>
  <c r="R190" i="1"/>
  <c r="Q182" i="1"/>
  <c r="R182" i="1"/>
  <c r="Q174" i="1"/>
  <c r="R174" i="1"/>
  <c r="Q166" i="1"/>
  <c r="R166" i="1"/>
  <c r="Q158" i="1"/>
  <c r="R158" i="1"/>
  <c r="Q150" i="1"/>
  <c r="R150" i="1"/>
  <c r="Q142" i="1"/>
  <c r="R142" i="1"/>
  <c r="Q134" i="1"/>
  <c r="R134" i="1"/>
  <c r="Q126" i="1"/>
  <c r="R126" i="1"/>
  <c r="Q118" i="1"/>
  <c r="R118" i="1"/>
  <c r="Q110" i="1"/>
  <c r="R110" i="1"/>
  <c r="Q102" i="1"/>
  <c r="R102" i="1"/>
  <c r="Q200" i="1"/>
  <c r="R200" i="1"/>
  <c r="Q160" i="1"/>
  <c r="R160" i="1"/>
  <c r="Q120" i="1"/>
  <c r="R120" i="1"/>
  <c r="Q198" i="1"/>
  <c r="R198" i="1"/>
  <c r="Q205" i="1"/>
  <c r="R205" i="1"/>
  <c r="Q197" i="1"/>
  <c r="R197" i="1"/>
  <c r="Q189" i="1"/>
  <c r="R189" i="1"/>
  <c r="Q181" i="1"/>
  <c r="R181" i="1"/>
  <c r="Q173" i="1"/>
  <c r="R173" i="1"/>
  <c r="Q165" i="1"/>
  <c r="R165" i="1"/>
  <c r="Q157" i="1"/>
  <c r="R157" i="1"/>
  <c r="Q149" i="1"/>
  <c r="R149" i="1"/>
  <c r="Q141" i="1"/>
  <c r="R141" i="1"/>
  <c r="Q133" i="1"/>
  <c r="R133" i="1"/>
  <c r="Q125" i="1"/>
  <c r="R125" i="1"/>
  <c r="Q117" i="1"/>
  <c r="R117" i="1"/>
  <c r="Q109" i="1"/>
  <c r="R109" i="1"/>
  <c r="Q101" i="1"/>
  <c r="R101" i="1"/>
  <c r="Q184" i="1"/>
  <c r="R184" i="1"/>
  <c r="Q144" i="1"/>
  <c r="R144" i="1"/>
  <c r="Q96" i="1"/>
  <c r="R96" i="1"/>
  <c r="Q214" i="1"/>
  <c r="R214" i="1"/>
  <c r="Q213" i="1"/>
  <c r="R213" i="1"/>
  <c r="R196" i="1"/>
  <c r="R188" i="1"/>
  <c r="R164" i="1"/>
  <c r="R156" i="1"/>
  <c r="R148" i="1"/>
  <c r="R140" i="1"/>
  <c r="R132" i="1"/>
  <c r="R124" i="1"/>
  <c r="R116" i="1"/>
  <c r="R108" i="1"/>
  <c r="R100" i="1"/>
  <c r="Q216" i="1"/>
  <c r="R216" i="1"/>
  <c r="Q176" i="1"/>
  <c r="R176" i="1"/>
  <c r="Q128" i="1"/>
  <c r="R128" i="1"/>
  <c r="R212" i="1"/>
  <c r="R172" i="1"/>
  <c r="Q211" i="1"/>
  <c r="R211" i="1"/>
  <c r="Q203" i="1"/>
  <c r="R203" i="1"/>
  <c r="Q195" i="1"/>
  <c r="R195" i="1"/>
  <c r="Q187" i="1"/>
  <c r="R187" i="1"/>
  <c r="Q179" i="1"/>
  <c r="R179" i="1"/>
  <c r="Q171" i="1"/>
  <c r="R171" i="1"/>
  <c r="Q163" i="1"/>
  <c r="R163" i="1"/>
  <c r="Q155" i="1"/>
  <c r="R155" i="1"/>
  <c r="Q147" i="1"/>
  <c r="R147" i="1"/>
  <c r="Q139" i="1"/>
  <c r="R139" i="1"/>
  <c r="Q131" i="1"/>
  <c r="R131" i="1"/>
  <c r="Q123" i="1"/>
  <c r="R123" i="1"/>
  <c r="Q115" i="1"/>
  <c r="R115" i="1"/>
  <c r="Q107" i="1"/>
  <c r="R107" i="1"/>
  <c r="Q99" i="1"/>
  <c r="R99" i="1"/>
  <c r="Q192" i="1"/>
  <c r="R192" i="1"/>
  <c r="Q136" i="1"/>
  <c r="R136" i="1"/>
  <c r="Q104" i="1"/>
  <c r="R104" i="1"/>
  <c r="Q206" i="1"/>
  <c r="R206" i="1"/>
  <c r="R204" i="1"/>
  <c r="R180" i="1"/>
  <c r="Q218" i="1"/>
  <c r="R218" i="1"/>
  <c r="Q210" i="1"/>
  <c r="R210" i="1"/>
  <c r="Q202" i="1"/>
  <c r="R202" i="1"/>
  <c r="Q194" i="1"/>
  <c r="R194" i="1"/>
  <c r="Q186" i="1"/>
  <c r="R186" i="1"/>
  <c r="Q178" i="1"/>
  <c r="R178" i="1"/>
  <c r="Q170" i="1"/>
  <c r="R170" i="1"/>
  <c r="Q162" i="1"/>
  <c r="R162" i="1"/>
  <c r="Q154" i="1"/>
  <c r="R154" i="1"/>
  <c r="Q146" i="1"/>
  <c r="R146" i="1"/>
  <c r="Q138" i="1"/>
  <c r="R138" i="1"/>
  <c r="Q130" i="1"/>
  <c r="R130" i="1"/>
  <c r="Q122" i="1"/>
  <c r="R122" i="1"/>
  <c r="Q114" i="1"/>
  <c r="R114" i="1"/>
  <c r="Q106" i="1"/>
  <c r="R106" i="1"/>
  <c r="Q98" i="1"/>
  <c r="R98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108" i="1"/>
  <c r="Q100" i="1"/>
  <c r="J78" i="1"/>
  <c r="N139" i="1"/>
  <c r="J193" i="1"/>
  <c r="N160" i="1"/>
  <c r="N105" i="1"/>
  <c r="J106" i="1"/>
  <c r="H173" i="1"/>
  <c r="N192" i="1"/>
  <c r="N208" i="1"/>
  <c r="J149" i="1"/>
  <c r="G166" i="1"/>
  <c r="N117" i="1"/>
  <c r="N211" i="1"/>
  <c r="G97" i="1"/>
  <c r="H182" i="1"/>
  <c r="H115" i="1"/>
  <c r="G171" i="1"/>
  <c r="G121" i="1"/>
  <c r="I167" i="1"/>
  <c r="G195" i="1"/>
  <c r="J182" i="1"/>
  <c r="G210" i="1"/>
  <c r="G101" i="1"/>
  <c r="N96" i="1"/>
  <c r="G181" i="1"/>
  <c r="H123" i="1"/>
  <c r="G102" i="1"/>
  <c r="N162" i="1"/>
  <c r="H193" i="1"/>
  <c r="H162" i="1"/>
  <c r="J128" i="1"/>
  <c r="N215" i="1"/>
  <c r="H177" i="1"/>
  <c r="J169" i="1"/>
  <c r="G158" i="1"/>
  <c r="N128" i="1"/>
  <c r="J127" i="1"/>
  <c r="I129" i="1"/>
  <c r="G140" i="1"/>
  <c r="J145" i="1"/>
  <c r="G179" i="1"/>
  <c r="G99" i="1"/>
  <c r="I184" i="1"/>
  <c r="N133" i="1"/>
  <c r="G212" i="1"/>
  <c r="N177" i="1"/>
  <c r="N122" i="1"/>
  <c r="I189" i="1"/>
  <c r="H153" i="1"/>
  <c r="G105" i="1"/>
  <c r="J97" i="1"/>
  <c r="N210" i="1"/>
  <c r="J184" i="1"/>
  <c r="N148" i="1"/>
  <c r="J205" i="1"/>
  <c r="G122" i="1"/>
  <c r="G116" i="1"/>
  <c r="H170" i="1"/>
  <c r="H113" i="1"/>
  <c r="J173" i="1"/>
  <c r="G203" i="1"/>
  <c r="N141" i="1"/>
  <c r="N113" i="1"/>
  <c r="G175" i="1"/>
  <c r="G112" i="1"/>
  <c r="G93" i="1"/>
  <c r="N200" i="1"/>
  <c r="J109" i="1"/>
  <c r="I213" i="1"/>
  <c r="J89" i="1"/>
  <c r="N124" i="1"/>
  <c r="N114" i="1"/>
  <c r="G118" i="1"/>
  <c r="H141" i="1"/>
  <c r="I215" i="1"/>
  <c r="N191" i="1"/>
  <c r="G86" i="1"/>
  <c r="G126" i="1"/>
  <c r="N99" i="1"/>
  <c r="J197" i="1"/>
  <c r="G136" i="1"/>
  <c r="G131" i="1"/>
  <c r="J81" i="1"/>
  <c r="J158" i="1"/>
  <c r="G132" i="1"/>
  <c r="G213" i="1"/>
  <c r="H176" i="1"/>
  <c r="J201" i="1"/>
  <c r="G134" i="1"/>
  <c r="H207" i="1"/>
  <c r="N132" i="1"/>
  <c r="N186" i="1"/>
  <c r="G94" i="1"/>
  <c r="J192" i="1"/>
  <c r="H217" i="1"/>
  <c r="H97" i="1"/>
  <c r="N187" i="1"/>
  <c r="G115" i="1"/>
  <c r="J94" i="1"/>
  <c r="J122" i="1"/>
  <c r="G98" i="1"/>
  <c r="N110" i="1"/>
  <c r="J214" i="1"/>
  <c r="H200" i="1"/>
  <c r="N107" i="1"/>
  <c r="N144" i="1"/>
  <c r="J194" i="1"/>
  <c r="G143" i="1"/>
  <c r="G206" i="1"/>
  <c r="J141" i="1"/>
  <c r="G150" i="1"/>
  <c r="I155" i="1"/>
  <c r="G192" i="1"/>
  <c r="G202" i="1"/>
  <c r="J159" i="1"/>
  <c r="H138" i="1"/>
  <c r="N164" i="1"/>
  <c r="N123" i="1"/>
  <c r="G154" i="1"/>
  <c r="N206" i="1"/>
  <c r="G174" i="1"/>
  <c r="N180" i="1"/>
  <c r="H98" i="1"/>
  <c r="I162" i="1"/>
  <c r="J103" i="1"/>
  <c r="N174" i="1"/>
  <c r="G218" i="1"/>
  <c r="H185" i="1"/>
  <c r="N195" i="1"/>
  <c r="H155" i="1"/>
  <c r="J104" i="1"/>
  <c r="G147" i="1"/>
  <c r="J191" i="1"/>
  <c r="G100" i="1"/>
  <c r="H134" i="1"/>
  <c r="G91" i="1"/>
  <c r="G82" i="1"/>
  <c r="G137" i="1"/>
  <c r="J171" i="1"/>
  <c r="H95" i="1"/>
  <c r="H125" i="1"/>
  <c r="H133" i="1"/>
  <c r="G103" i="1"/>
  <c r="G151" i="1"/>
  <c r="H208" i="1"/>
  <c r="N108" i="1"/>
  <c r="H106" i="1"/>
  <c r="J143" i="1"/>
  <c r="H168" i="1"/>
  <c r="N151" i="1"/>
  <c r="G130" i="1"/>
  <c r="N138" i="1"/>
  <c r="J154" i="1"/>
  <c r="N130" i="1"/>
  <c r="I137" i="1"/>
  <c r="G129" i="1"/>
  <c r="N218" i="1"/>
  <c r="N194" i="1"/>
  <c r="G156" i="1"/>
  <c r="N207" i="1"/>
  <c r="J207" i="1"/>
  <c r="H131" i="1"/>
  <c r="N217" i="1"/>
  <c r="N147" i="1"/>
  <c r="G161" i="1"/>
  <c r="J211" i="1"/>
  <c r="J161" i="1"/>
  <c r="I163" i="1"/>
  <c r="G110" i="1"/>
  <c r="J105" i="1"/>
  <c r="G185" i="1"/>
  <c r="J151" i="1"/>
  <c r="J121" i="1"/>
  <c r="G198" i="1"/>
  <c r="J168" i="1"/>
  <c r="H215" i="1"/>
  <c r="G188" i="1"/>
  <c r="I187" i="1"/>
  <c r="G146" i="1"/>
  <c r="G89" i="1"/>
  <c r="G107" i="1"/>
  <c r="J178" i="1"/>
  <c r="J160" i="1"/>
  <c r="H188" i="1"/>
  <c r="N134" i="1"/>
  <c r="N214" i="1"/>
  <c r="H144" i="1"/>
  <c r="G160" i="1"/>
  <c r="G215" i="1"/>
  <c r="I139" i="1"/>
  <c r="J82" i="1"/>
  <c r="G159" i="1"/>
  <c r="J176" i="1"/>
  <c r="I212" i="1"/>
  <c r="N119" i="1"/>
  <c r="H159" i="1"/>
  <c r="N168" i="1"/>
  <c r="G83" i="1"/>
  <c r="H205" i="1"/>
  <c r="G96" i="1"/>
  <c r="G157" i="1"/>
  <c r="H118" i="1"/>
  <c r="H209" i="1"/>
  <c r="G127" i="1"/>
  <c r="G153" i="1"/>
  <c r="G193" i="1"/>
  <c r="J210" i="1"/>
  <c r="N118" i="1"/>
  <c r="G155" i="1"/>
  <c r="N150" i="1"/>
  <c r="H157" i="1"/>
  <c r="I199" i="1"/>
  <c r="G180" i="1"/>
  <c r="H150" i="1"/>
  <c r="G106" i="1"/>
  <c r="I191" i="1"/>
  <c r="G148" i="1"/>
  <c r="I134" i="1"/>
  <c r="I169" i="1"/>
  <c r="G168" i="1"/>
  <c r="H183" i="1"/>
  <c r="G88" i="1"/>
  <c r="G139" i="1"/>
  <c r="N176" i="1"/>
  <c r="N201" i="1"/>
  <c r="G205" i="1"/>
  <c r="H195" i="1"/>
  <c r="G201" i="1"/>
  <c r="G178" i="1"/>
  <c r="I209" i="1"/>
  <c r="H186" i="1"/>
  <c r="N112" i="1"/>
  <c r="H101" i="1"/>
  <c r="J189" i="1"/>
  <c r="H156" i="1"/>
  <c r="G141" i="1"/>
  <c r="G135" i="1"/>
  <c r="G191" i="1"/>
  <c r="J138" i="1"/>
  <c r="J152" i="1"/>
  <c r="N202" i="1"/>
  <c r="H167" i="1"/>
  <c r="I165" i="1"/>
  <c r="N212" i="1"/>
  <c r="N172" i="1"/>
  <c r="H174" i="1"/>
  <c r="H158" i="1"/>
  <c r="H171" i="1"/>
  <c r="J113" i="1"/>
  <c r="H109" i="1"/>
  <c r="H130" i="1"/>
  <c r="N116" i="1"/>
  <c r="J203" i="1"/>
  <c r="N137" i="1"/>
  <c r="G92" i="1"/>
  <c r="J180" i="1"/>
  <c r="J215" i="1"/>
  <c r="J130" i="1"/>
  <c r="G142" i="1"/>
  <c r="J96" i="1"/>
  <c r="H166" i="1"/>
  <c r="I148" i="1"/>
  <c r="H124" i="1"/>
  <c r="J80" i="1"/>
  <c r="N189" i="1"/>
  <c r="J79" i="1"/>
  <c r="I174" i="1"/>
  <c r="H199" i="1"/>
  <c r="J129" i="1"/>
  <c r="J198" i="1"/>
  <c r="J195" i="1"/>
  <c r="G95" i="1"/>
  <c r="I201" i="1"/>
  <c r="I185" i="1"/>
  <c r="H160" i="1"/>
  <c r="H179" i="1"/>
  <c r="I131" i="1"/>
  <c r="I130" i="1"/>
  <c r="N121" i="1"/>
  <c r="N157" i="1"/>
  <c r="J125" i="1"/>
  <c r="G133" i="1"/>
  <c r="G163" i="1"/>
  <c r="N199" i="1"/>
  <c r="H121" i="1"/>
  <c r="H145" i="1"/>
  <c r="G211" i="1"/>
  <c r="G144" i="1"/>
  <c r="J84" i="1"/>
  <c r="N181" i="1"/>
  <c r="J140" i="1"/>
  <c r="G190" i="1"/>
  <c r="H213" i="1"/>
  <c r="N170" i="1"/>
  <c r="N109" i="1"/>
  <c r="N179" i="1"/>
  <c r="H201" i="1"/>
  <c r="J208" i="1"/>
  <c r="N158" i="1"/>
  <c r="H196" i="1"/>
  <c r="G214" i="1"/>
  <c r="N159" i="1"/>
  <c r="J190" i="1"/>
  <c r="G164" i="1"/>
  <c r="N127" i="1"/>
  <c r="G149" i="1"/>
  <c r="N120" i="1"/>
  <c r="J165" i="1"/>
  <c r="G197" i="1"/>
  <c r="N178" i="1"/>
  <c r="I200" i="1"/>
  <c r="H104" i="1"/>
  <c r="I198" i="1"/>
  <c r="I182" i="1"/>
  <c r="N100" i="1"/>
  <c r="I132" i="1"/>
  <c r="J90" i="1"/>
  <c r="N104" i="1"/>
  <c r="H164" i="1"/>
  <c r="G217" i="1"/>
  <c r="I144" i="1"/>
  <c r="I133" i="1"/>
  <c r="J93" i="1"/>
  <c r="J148" i="1"/>
  <c r="G90" i="1"/>
  <c r="J108" i="1"/>
  <c r="N155" i="1"/>
  <c r="I171" i="1"/>
  <c r="N198" i="1"/>
  <c r="N173" i="1"/>
  <c r="J112" i="1"/>
  <c r="G177" i="1"/>
  <c r="H126" i="1"/>
  <c r="N193" i="1"/>
  <c r="J175" i="1"/>
  <c r="I203" i="1"/>
  <c r="J177" i="1"/>
  <c r="H189" i="1"/>
  <c r="G207" i="1"/>
  <c r="H128" i="1"/>
  <c r="G170" i="1"/>
  <c r="J99" i="1"/>
  <c r="I197" i="1"/>
  <c r="I170" i="1"/>
  <c r="J147" i="1"/>
  <c r="N103" i="1"/>
  <c r="J88" i="1"/>
  <c r="I127" i="1"/>
  <c r="J136" i="1"/>
  <c r="G85" i="1"/>
  <c r="I208" i="1"/>
  <c r="N95" i="1"/>
  <c r="I142" i="1"/>
  <c r="N135" i="1"/>
  <c r="H161" i="1"/>
  <c r="N152" i="1"/>
  <c r="N149" i="1"/>
  <c r="J172" i="1"/>
  <c r="J185" i="1"/>
  <c r="J209" i="1"/>
  <c r="I207" i="1"/>
  <c r="H114" i="1"/>
  <c r="I135" i="1"/>
  <c r="H152" i="1"/>
  <c r="N196" i="1"/>
  <c r="N183" i="1"/>
  <c r="I140" i="1"/>
  <c r="G208" i="1"/>
  <c r="H112" i="1"/>
  <c r="G117" i="1"/>
  <c r="G184" i="1"/>
  <c r="N216" i="1"/>
  <c r="J86" i="1"/>
  <c r="G209" i="1"/>
  <c r="N140" i="1"/>
  <c r="N175" i="1"/>
  <c r="I146" i="1"/>
  <c r="I125" i="1"/>
  <c r="I183" i="1"/>
  <c r="G173" i="1"/>
  <c r="I196" i="1"/>
  <c r="H204" i="1"/>
  <c r="I202" i="1"/>
  <c r="N204" i="1"/>
  <c r="H197" i="1"/>
  <c r="J213" i="1"/>
  <c r="H191" i="1"/>
  <c r="J91" i="1"/>
  <c r="J118" i="1"/>
  <c r="H184" i="1"/>
  <c r="J117" i="1"/>
  <c r="I158" i="1"/>
  <c r="J144" i="1"/>
  <c r="I175" i="1"/>
  <c r="J150" i="1"/>
  <c r="H148" i="1"/>
  <c r="J155" i="1"/>
  <c r="H136" i="1"/>
  <c r="N197" i="1"/>
  <c r="N209" i="1"/>
  <c r="I192" i="1"/>
  <c r="G186" i="1"/>
  <c r="J153" i="1"/>
  <c r="J204" i="1"/>
  <c r="J126" i="1"/>
  <c r="H212" i="1"/>
  <c r="I190" i="1"/>
  <c r="I153" i="1"/>
  <c r="I195" i="1"/>
  <c r="G109" i="1"/>
  <c r="H202" i="1"/>
  <c r="J107" i="1"/>
  <c r="G172" i="1"/>
  <c r="N161" i="1"/>
  <c r="J101" i="1"/>
  <c r="G123" i="1"/>
  <c r="I149" i="1"/>
  <c r="J196" i="1"/>
  <c r="J162" i="1"/>
  <c r="J116" i="1"/>
  <c r="H139" i="1"/>
  <c r="I164" i="1"/>
  <c r="I145" i="1"/>
  <c r="N98" i="1"/>
  <c r="N185" i="1"/>
  <c r="G183" i="1"/>
  <c r="G187" i="1"/>
  <c r="J199" i="1"/>
  <c r="J83" i="1"/>
  <c r="N129" i="1"/>
  <c r="N101" i="1"/>
  <c r="N188" i="1"/>
  <c r="I176" i="1"/>
  <c r="J98" i="1"/>
  <c r="G152" i="1"/>
  <c r="G128" i="1"/>
  <c r="G199" i="1"/>
  <c r="J102" i="1"/>
  <c r="J186" i="1"/>
  <c r="H110" i="1"/>
  <c r="J85" i="1"/>
  <c r="I152" i="1"/>
  <c r="J181" i="1"/>
  <c r="H203" i="1"/>
  <c r="G216" i="1"/>
  <c r="H154" i="1"/>
  <c r="G167" i="1"/>
  <c r="N136" i="1"/>
  <c r="G145" i="1"/>
  <c r="J100" i="1"/>
  <c r="I204" i="1"/>
  <c r="H119" i="1"/>
  <c r="J174" i="1"/>
  <c r="J179" i="1"/>
  <c r="G204" i="1"/>
  <c r="G189" i="1"/>
  <c r="H137" i="1"/>
  <c r="J135" i="1"/>
  <c r="H111" i="1"/>
  <c r="H143" i="1"/>
  <c r="H149" i="1"/>
  <c r="H99" i="1"/>
  <c r="J77" i="1"/>
  <c r="N163" i="1"/>
  <c r="I172" i="1"/>
  <c r="N203" i="1"/>
  <c r="G125" i="1"/>
  <c r="I156" i="1"/>
  <c r="I159" i="1"/>
  <c r="G111" i="1"/>
  <c r="N115" i="1"/>
  <c r="J110" i="1"/>
  <c r="N146" i="1"/>
  <c r="I211" i="1"/>
  <c r="N142" i="1"/>
  <c r="N143" i="1"/>
  <c r="N156" i="1"/>
  <c r="N102" i="1"/>
  <c r="J76" i="1"/>
  <c r="H214" i="1"/>
  <c r="H210" i="1"/>
  <c r="H180" i="1"/>
  <c r="I214" i="1"/>
  <c r="I136" i="1"/>
  <c r="H192" i="1"/>
  <c r="H105" i="1"/>
  <c r="H100" i="1"/>
  <c r="G113" i="1"/>
  <c r="H127" i="1"/>
  <c r="G120" i="1"/>
  <c r="N213" i="1"/>
  <c r="H206" i="1"/>
  <c r="N166" i="1"/>
  <c r="G176" i="1"/>
  <c r="G200" i="1"/>
  <c r="H194" i="1"/>
  <c r="J188" i="1"/>
  <c r="G84" i="1"/>
  <c r="I141" i="1"/>
  <c r="J124" i="1"/>
  <c r="I180" i="1"/>
  <c r="N190" i="1"/>
  <c r="H181" i="1"/>
  <c r="I188" i="1"/>
  <c r="G169" i="1"/>
  <c r="I166" i="1"/>
  <c r="N171" i="1"/>
  <c r="J156" i="1"/>
  <c r="I186" i="1"/>
  <c r="J115" i="1"/>
  <c r="I173" i="1"/>
  <c r="J120" i="1"/>
  <c r="J183" i="1"/>
  <c r="I147" i="1"/>
  <c r="J216" i="1"/>
  <c r="J111" i="1"/>
  <c r="G196" i="1"/>
  <c r="J200" i="1"/>
  <c r="H147" i="1"/>
  <c r="I126" i="1"/>
  <c r="I143" i="1"/>
  <c r="J164" i="1"/>
  <c r="I160" i="1"/>
  <c r="I157" i="1"/>
  <c r="J95" i="1"/>
  <c r="J123" i="1"/>
  <c r="I178" i="1"/>
  <c r="N126" i="1"/>
  <c r="H169" i="1"/>
  <c r="H108" i="1"/>
  <c r="H178" i="1"/>
  <c r="H117" i="1"/>
  <c r="G194" i="1"/>
  <c r="N184" i="1"/>
  <c r="J132" i="1"/>
  <c r="J187" i="1"/>
  <c r="J131" i="1"/>
  <c r="H132" i="1"/>
  <c r="N167" i="1"/>
  <c r="J166" i="1"/>
  <c r="H216" i="1"/>
  <c r="N131" i="1"/>
  <c r="I138" i="1"/>
  <c r="J157" i="1"/>
  <c r="H135" i="1"/>
  <c r="N106" i="1"/>
  <c r="H122" i="1"/>
  <c r="N154" i="1"/>
  <c r="H175" i="1"/>
  <c r="I151" i="1"/>
  <c r="I177" i="1"/>
  <c r="N145" i="1"/>
  <c r="J137" i="1"/>
  <c r="I206" i="1"/>
  <c r="J134" i="1"/>
  <c r="H198" i="1"/>
  <c r="G138" i="1"/>
  <c r="G124" i="1"/>
  <c r="N169" i="1"/>
  <c r="J119" i="1"/>
  <c r="G104" i="1"/>
  <c r="J167" i="1"/>
  <c r="N205" i="1"/>
  <c r="H107" i="1"/>
  <c r="I154" i="1"/>
  <c r="I194" i="1"/>
  <c r="N111" i="1"/>
  <c r="J87" i="1"/>
  <c r="G114" i="1"/>
  <c r="N182" i="1"/>
  <c r="N165" i="1"/>
  <c r="H151" i="1"/>
  <c r="J217" i="1"/>
  <c r="J133" i="1"/>
  <c r="J146" i="1"/>
  <c r="J206" i="1"/>
  <c r="I128" i="1"/>
  <c r="I150" i="1"/>
  <c r="J92" i="1"/>
  <c r="N153" i="1"/>
  <c r="G182" i="1"/>
  <c r="I179" i="1"/>
  <c r="I168" i="1"/>
  <c r="I161" i="1"/>
  <c r="N97" i="1"/>
  <c r="J202" i="1"/>
  <c r="J142" i="1"/>
  <c r="I205" i="1"/>
  <c r="I210" i="1"/>
  <c r="H165" i="1"/>
  <c r="H102" i="1"/>
  <c r="H116" i="1"/>
  <c r="H142" i="1"/>
  <c r="H120" i="1"/>
  <c r="H190" i="1"/>
  <c r="H172" i="1"/>
  <c r="J212" i="1"/>
  <c r="I217" i="1"/>
  <c r="H129" i="1"/>
  <c r="I181" i="1"/>
  <c r="N125" i="1"/>
  <c r="H211" i="1"/>
  <c r="H187" i="1"/>
  <c r="G87" i="1"/>
  <c r="H96" i="1"/>
  <c r="I193" i="1"/>
  <c r="G108" i="1"/>
  <c r="H103" i="1"/>
  <c r="G165" i="1"/>
  <c r="H140" i="1"/>
  <c r="J139" i="1"/>
  <c r="J114" i="1"/>
  <c r="J163" i="1"/>
  <c r="H146" i="1"/>
  <c r="G119" i="1"/>
  <c r="I216" i="1"/>
  <c r="G162" i="1"/>
  <c r="H163" i="1"/>
  <c r="J170" i="1"/>
  <c r="O22" i="1" l="1"/>
  <c r="P23" i="1"/>
  <c r="P31" i="1"/>
  <c r="P39" i="1"/>
  <c r="P47" i="1"/>
  <c r="P55" i="1"/>
  <c r="P63" i="1"/>
  <c r="P71" i="1"/>
  <c r="P79" i="1"/>
  <c r="P87" i="1"/>
  <c r="P61" i="1"/>
  <c r="P85" i="1"/>
  <c r="P24" i="1"/>
  <c r="P32" i="1"/>
  <c r="P40" i="1"/>
  <c r="P48" i="1"/>
  <c r="P56" i="1"/>
  <c r="P64" i="1"/>
  <c r="P72" i="1"/>
  <c r="P80" i="1"/>
  <c r="P88" i="1"/>
  <c r="P53" i="1"/>
  <c r="P25" i="1"/>
  <c r="P33" i="1"/>
  <c r="P41" i="1"/>
  <c r="P49" i="1"/>
  <c r="P57" i="1"/>
  <c r="P65" i="1"/>
  <c r="P73" i="1"/>
  <c r="P81" i="1"/>
  <c r="P89" i="1"/>
  <c r="P77" i="1"/>
  <c r="P26" i="1"/>
  <c r="P34" i="1"/>
  <c r="P42" i="1"/>
  <c r="P50" i="1"/>
  <c r="P58" i="1"/>
  <c r="P66" i="1"/>
  <c r="P74" i="1"/>
  <c r="P82" i="1"/>
  <c r="P90" i="1"/>
  <c r="P37" i="1"/>
  <c r="P93" i="1"/>
  <c r="P27" i="1"/>
  <c r="P35" i="1"/>
  <c r="P43" i="1"/>
  <c r="P51" i="1"/>
  <c r="P59" i="1"/>
  <c r="P67" i="1"/>
  <c r="P75" i="1"/>
  <c r="P83" i="1"/>
  <c r="P91" i="1"/>
  <c r="P29" i="1"/>
  <c r="P28" i="1"/>
  <c r="P36" i="1"/>
  <c r="P44" i="1"/>
  <c r="P52" i="1"/>
  <c r="P60" i="1"/>
  <c r="P68" i="1"/>
  <c r="P76" i="1"/>
  <c r="P84" i="1"/>
  <c r="P92" i="1"/>
  <c r="P69" i="1"/>
  <c r="P30" i="1"/>
  <c r="P38" i="1"/>
  <c r="P46" i="1"/>
  <c r="P54" i="1"/>
  <c r="P62" i="1"/>
  <c r="P70" i="1"/>
  <c r="P78" i="1"/>
  <c r="P86" i="1"/>
  <c r="P94" i="1"/>
  <c r="P45" i="1"/>
  <c r="O23" i="1"/>
  <c r="O31" i="1"/>
  <c r="O39" i="1"/>
  <c r="O55" i="1"/>
  <c r="O63" i="1"/>
  <c r="O71" i="1"/>
  <c r="O79" i="1"/>
  <c r="O87" i="1"/>
  <c r="O24" i="1"/>
  <c r="O32" i="1"/>
  <c r="O40" i="1"/>
  <c r="O48" i="1"/>
  <c r="O56" i="1"/>
  <c r="O64" i="1"/>
  <c r="O72" i="1"/>
  <c r="O80" i="1"/>
  <c r="O88" i="1"/>
  <c r="O25" i="1"/>
  <c r="O33" i="1"/>
  <c r="O41" i="1"/>
  <c r="O49" i="1"/>
  <c r="O57" i="1"/>
  <c r="O65" i="1"/>
  <c r="O73" i="1"/>
  <c r="O81" i="1"/>
  <c r="O89" i="1"/>
  <c r="O53" i="1"/>
  <c r="O26" i="1"/>
  <c r="O34" i="1"/>
  <c r="O42" i="1"/>
  <c r="O50" i="1"/>
  <c r="O58" i="1"/>
  <c r="O66" i="1"/>
  <c r="O74" i="1"/>
  <c r="O82" i="1"/>
  <c r="O90" i="1"/>
  <c r="O45" i="1"/>
  <c r="O77" i="1"/>
  <c r="O85" i="1"/>
  <c r="O27" i="1"/>
  <c r="O35" i="1"/>
  <c r="O43" i="1"/>
  <c r="O51" i="1"/>
  <c r="O59" i="1"/>
  <c r="O67" i="1"/>
  <c r="O75" i="1"/>
  <c r="O83" i="1"/>
  <c r="O91" i="1"/>
  <c r="O37" i="1"/>
  <c r="O69" i="1"/>
  <c r="O93" i="1"/>
  <c r="O28" i="1"/>
  <c r="O36" i="1"/>
  <c r="O44" i="1"/>
  <c r="O52" i="1"/>
  <c r="O60" i="1"/>
  <c r="O68" i="1"/>
  <c r="O76" i="1"/>
  <c r="O84" i="1"/>
  <c r="O92" i="1"/>
  <c r="O29" i="1"/>
  <c r="O61" i="1"/>
  <c r="O30" i="1"/>
  <c r="O38" i="1"/>
  <c r="O46" i="1"/>
  <c r="O54" i="1"/>
  <c r="O62" i="1"/>
  <c r="O70" i="1"/>
  <c r="O78" i="1"/>
  <c r="O86" i="1"/>
  <c r="O94" i="1"/>
  <c r="O47" i="1"/>
  <c r="P22" i="1"/>
  <c r="H84" i="1"/>
  <c r="I117" i="1"/>
  <c r="I109" i="1"/>
  <c r="N82" i="1"/>
  <c r="G71" i="1"/>
  <c r="J59" i="1"/>
  <c r="I108" i="1"/>
  <c r="H82" i="1"/>
  <c r="G67" i="1"/>
  <c r="N79" i="1"/>
  <c r="H81" i="1"/>
  <c r="G77" i="1"/>
  <c r="J68" i="1"/>
  <c r="H76" i="1"/>
  <c r="N90" i="1"/>
  <c r="I120" i="1"/>
  <c r="J70" i="1"/>
  <c r="N75" i="1"/>
  <c r="N94" i="1"/>
  <c r="G69" i="1"/>
  <c r="I113" i="1"/>
  <c r="J63" i="1"/>
  <c r="H85" i="1"/>
  <c r="I122" i="1"/>
  <c r="J71" i="1"/>
  <c r="I116" i="1"/>
  <c r="G80" i="1"/>
  <c r="I123" i="1"/>
  <c r="N91" i="1"/>
  <c r="N92" i="1"/>
  <c r="H75" i="1"/>
  <c r="H79" i="1"/>
  <c r="G68" i="1"/>
  <c r="N76" i="1"/>
  <c r="I121" i="1"/>
  <c r="N93" i="1"/>
  <c r="G65" i="1"/>
  <c r="I107" i="1"/>
  <c r="N78" i="1"/>
  <c r="G61" i="1"/>
  <c r="H78" i="1"/>
  <c r="J60" i="1"/>
  <c r="J66" i="1"/>
  <c r="J75" i="1"/>
  <c r="H86" i="1"/>
  <c r="G76" i="1"/>
  <c r="I105" i="1"/>
  <c r="J62" i="1"/>
  <c r="G66" i="1"/>
  <c r="H89" i="1"/>
  <c r="N88" i="1"/>
  <c r="J58" i="1"/>
  <c r="H91" i="1"/>
  <c r="I111" i="1"/>
  <c r="J67" i="1"/>
  <c r="N74" i="1"/>
  <c r="G73" i="1"/>
  <c r="J64" i="1"/>
  <c r="H90" i="1"/>
  <c r="H74" i="1"/>
  <c r="J72" i="1"/>
  <c r="I110" i="1"/>
  <c r="G64" i="1"/>
  <c r="N89" i="1"/>
  <c r="J57" i="1"/>
  <c r="J65" i="1"/>
  <c r="J55" i="1"/>
  <c r="J69" i="1"/>
  <c r="H93" i="1"/>
  <c r="I115" i="1"/>
  <c r="H94" i="1"/>
  <c r="G75" i="1"/>
  <c r="I124" i="1"/>
  <c r="J74" i="1"/>
  <c r="H87" i="1"/>
  <c r="I104" i="1"/>
  <c r="H88" i="1"/>
  <c r="G63" i="1"/>
  <c r="N80" i="1"/>
  <c r="G72" i="1"/>
  <c r="N86" i="1"/>
  <c r="G78" i="1"/>
  <c r="N77" i="1"/>
  <c r="N83" i="1"/>
  <c r="G79" i="1"/>
  <c r="I114" i="1"/>
  <c r="I119" i="1"/>
  <c r="G62" i="1"/>
  <c r="H77" i="1"/>
  <c r="G81" i="1"/>
  <c r="J56" i="1"/>
  <c r="G74" i="1"/>
  <c r="H80" i="1"/>
  <c r="I112" i="1"/>
  <c r="J73" i="1"/>
  <c r="N85" i="1"/>
  <c r="H92" i="1"/>
  <c r="G70" i="1"/>
  <c r="I118" i="1"/>
  <c r="H83" i="1"/>
  <c r="J61" i="1"/>
  <c r="N81" i="1"/>
  <c r="I106" i="1"/>
  <c r="N87" i="1"/>
  <c r="N84" i="1"/>
  <c r="N23" i="1"/>
  <c r="N39" i="1"/>
  <c r="L99" i="1"/>
  <c r="H36" i="1"/>
  <c r="G51" i="1"/>
  <c r="L118" i="1"/>
  <c r="J42" i="1"/>
  <c r="G56" i="1"/>
  <c r="G29" i="1"/>
  <c r="L208" i="1"/>
  <c r="L26" i="1"/>
  <c r="H60" i="1"/>
  <c r="L175" i="1"/>
  <c r="I58" i="1"/>
  <c r="G44" i="1"/>
  <c r="I74" i="1"/>
  <c r="L212" i="1"/>
  <c r="J37" i="1"/>
  <c r="L5" i="1"/>
  <c r="L53" i="1"/>
  <c r="G49" i="1"/>
  <c r="N63" i="1"/>
  <c r="L34" i="1"/>
  <c r="G55" i="1"/>
  <c r="H57" i="1"/>
  <c r="N29" i="1"/>
  <c r="N45" i="1"/>
  <c r="L152" i="1"/>
  <c r="L192" i="1"/>
  <c r="I52" i="1"/>
  <c r="I69" i="1"/>
  <c r="L184" i="1"/>
  <c r="L114" i="1"/>
  <c r="L77" i="1"/>
  <c r="L103" i="1"/>
  <c r="N59" i="1"/>
  <c r="I101" i="1"/>
  <c r="G50" i="1"/>
  <c r="I64" i="1"/>
  <c r="J43" i="1"/>
  <c r="G41" i="1"/>
  <c r="L196" i="1"/>
  <c r="L9" i="1"/>
  <c r="L74" i="1"/>
  <c r="L17" i="1"/>
  <c r="L56" i="1"/>
  <c r="L107" i="1"/>
  <c r="H34" i="1"/>
  <c r="L22" i="1"/>
  <c r="N28" i="1"/>
  <c r="L151" i="1"/>
  <c r="L144" i="1"/>
  <c r="J41" i="1"/>
  <c r="I80" i="1"/>
  <c r="I88" i="1"/>
  <c r="L6" i="1"/>
  <c r="H71" i="1"/>
  <c r="N68" i="1"/>
  <c r="I96" i="1"/>
  <c r="H25" i="1"/>
  <c r="H62" i="1"/>
  <c r="N27" i="1"/>
  <c r="H45" i="1"/>
  <c r="L149" i="1"/>
  <c r="G32" i="1"/>
  <c r="N48" i="1"/>
  <c r="I91" i="1"/>
  <c r="G35" i="1"/>
  <c r="H73" i="1"/>
  <c r="L194" i="1"/>
  <c r="H68" i="1"/>
  <c r="L171" i="1"/>
  <c r="N22" i="1"/>
  <c r="L84" i="1"/>
  <c r="N37" i="1"/>
  <c r="N41" i="1"/>
  <c r="G13" i="1"/>
  <c r="G31" i="1"/>
  <c r="L193" i="1"/>
  <c r="G26" i="1"/>
  <c r="L104" i="1"/>
  <c r="N46" i="1"/>
  <c r="J21" i="1"/>
  <c r="G19" i="1"/>
  <c r="H51" i="1"/>
  <c r="L154" i="1"/>
  <c r="L145" i="1"/>
  <c r="J19" i="1"/>
  <c r="I57" i="1"/>
  <c r="L122" i="1"/>
  <c r="L48" i="1"/>
  <c r="H31" i="1"/>
  <c r="J16" i="1"/>
  <c r="G12" i="1"/>
  <c r="L32" i="1"/>
  <c r="L116" i="1"/>
  <c r="L63" i="1"/>
  <c r="I99" i="1"/>
  <c r="I70" i="1"/>
  <c r="L186" i="1"/>
  <c r="L133" i="1"/>
  <c r="L57" i="1"/>
  <c r="N50" i="1"/>
  <c r="J46" i="1"/>
  <c r="I83" i="1"/>
  <c r="L131" i="1"/>
  <c r="L200" i="1"/>
  <c r="J18" i="1"/>
  <c r="J32" i="1"/>
  <c r="I77" i="1"/>
  <c r="L157" i="1"/>
  <c r="L101" i="1"/>
  <c r="H66" i="1"/>
  <c r="L42" i="1"/>
  <c r="J17" i="1"/>
  <c r="L125" i="1"/>
  <c r="H30" i="1"/>
  <c r="L102" i="1"/>
  <c r="L205" i="1"/>
  <c r="L187" i="1"/>
  <c r="L150" i="1"/>
  <c r="N24" i="1"/>
  <c r="G40" i="1"/>
  <c r="L190" i="1"/>
  <c r="L85" i="1"/>
  <c r="L31" i="1"/>
  <c r="G53" i="1"/>
  <c r="J3" i="1"/>
  <c r="L79" i="1"/>
  <c r="J47" i="1"/>
  <c r="I93" i="1"/>
  <c r="H53" i="1"/>
  <c r="L16" i="1"/>
  <c r="I55" i="1"/>
  <c r="H65" i="1"/>
  <c r="L51" i="1"/>
  <c r="H40" i="1"/>
  <c r="J22" i="1"/>
  <c r="G14" i="1"/>
  <c r="N57" i="1"/>
  <c r="L112" i="1"/>
  <c r="L14" i="1"/>
  <c r="N56" i="1"/>
  <c r="N60" i="1"/>
  <c r="L67" i="1"/>
  <c r="L141" i="1"/>
  <c r="L127" i="1"/>
  <c r="L217" i="1"/>
  <c r="J20" i="1"/>
  <c r="L92" i="1"/>
  <c r="L66" i="1"/>
  <c r="G60" i="1"/>
  <c r="G58" i="1"/>
  <c r="J51" i="1"/>
  <c r="H70" i="1"/>
  <c r="H26" i="1"/>
  <c r="H50" i="1"/>
  <c r="H28" i="1"/>
  <c r="J24" i="1"/>
  <c r="G21" i="1"/>
  <c r="L47" i="1"/>
  <c r="J35" i="1"/>
  <c r="L132" i="1"/>
  <c r="L69" i="1"/>
  <c r="N49" i="1"/>
  <c r="L80" i="1"/>
  <c r="L58" i="1"/>
  <c r="L138" i="1"/>
  <c r="L108" i="1"/>
  <c r="L147" i="1"/>
  <c r="I65" i="1"/>
  <c r="N38" i="1"/>
  <c r="L13" i="1"/>
  <c r="N33" i="1"/>
  <c r="J10" i="1"/>
  <c r="G20" i="1"/>
  <c r="L209" i="1"/>
  <c r="L3" i="1"/>
  <c r="N61" i="1"/>
  <c r="J7" i="1"/>
  <c r="N69" i="1"/>
  <c r="H61" i="1"/>
  <c r="L143" i="1"/>
  <c r="L94" i="1"/>
  <c r="L18" i="1"/>
  <c r="G43" i="1"/>
  <c r="I61" i="1"/>
  <c r="J45" i="1"/>
  <c r="L76" i="1"/>
  <c r="N58" i="1"/>
  <c r="L83" i="1"/>
  <c r="L40" i="1"/>
  <c r="J30" i="1"/>
  <c r="L119" i="1"/>
  <c r="L110" i="1"/>
  <c r="L41" i="1"/>
  <c r="L71" i="1"/>
  <c r="G18" i="1"/>
  <c r="N65" i="1"/>
  <c r="G11" i="1"/>
  <c r="I56" i="1"/>
  <c r="L82" i="1"/>
  <c r="I54" i="1"/>
  <c r="L68" i="1"/>
  <c r="L81" i="1"/>
  <c r="L169" i="1"/>
  <c r="N43" i="1"/>
  <c r="L54" i="1"/>
  <c r="H59" i="1"/>
  <c r="L111" i="1"/>
  <c r="J11" i="1"/>
  <c r="L176" i="1"/>
  <c r="L93" i="1"/>
  <c r="J5" i="1"/>
  <c r="H67" i="1"/>
  <c r="N70" i="1"/>
  <c r="L201" i="1"/>
  <c r="H42" i="1"/>
  <c r="L123" i="1"/>
  <c r="I79" i="1"/>
  <c r="L72" i="1"/>
  <c r="L36" i="1"/>
  <c r="N35" i="1"/>
  <c r="L173" i="1"/>
  <c r="L159" i="1"/>
  <c r="L12" i="1"/>
  <c r="L30" i="1"/>
  <c r="N62" i="1"/>
  <c r="I97" i="1"/>
  <c r="G16" i="1"/>
  <c r="L130" i="1"/>
  <c r="L25" i="1"/>
  <c r="L191" i="1"/>
  <c r="I68" i="1"/>
  <c r="L19" i="1"/>
  <c r="L178" i="1"/>
  <c r="J53" i="1"/>
  <c r="L44" i="1"/>
  <c r="L180" i="1"/>
  <c r="N64" i="1"/>
  <c r="L52" i="1"/>
  <c r="I72" i="1"/>
  <c r="L33" i="1"/>
  <c r="G38" i="1"/>
  <c r="N36" i="1"/>
  <c r="L55" i="1"/>
  <c r="L61" i="1"/>
  <c r="H56" i="1"/>
  <c r="L117" i="1"/>
  <c r="L106" i="1"/>
  <c r="L139" i="1"/>
  <c r="G33" i="1"/>
  <c r="J48" i="1"/>
  <c r="L140" i="1"/>
  <c r="H69" i="1"/>
  <c r="G39" i="1"/>
  <c r="G15" i="1"/>
  <c r="L29" i="1"/>
  <c r="J44" i="1"/>
  <c r="I53" i="1"/>
  <c r="L10" i="1"/>
  <c r="H22" i="1"/>
  <c r="L49" i="1"/>
  <c r="L75" i="1"/>
  <c r="L95" i="1"/>
  <c r="L134" i="1"/>
  <c r="L35" i="1"/>
  <c r="L148" i="1"/>
  <c r="L207" i="1"/>
  <c r="G10" i="1"/>
  <c r="I86" i="1"/>
  <c r="J26" i="1"/>
  <c r="G48" i="1"/>
  <c r="I75" i="1"/>
  <c r="G34" i="1"/>
  <c r="L188" i="1"/>
  <c r="I78" i="1"/>
  <c r="L164" i="1"/>
  <c r="L198" i="1"/>
  <c r="I94" i="1"/>
  <c r="L62" i="1"/>
  <c r="N47" i="1"/>
  <c r="I85" i="1"/>
  <c r="L161" i="1"/>
  <c r="L90" i="1"/>
  <c r="H23" i="1"/>
  <c r="I59" i="1"/>
  <c r="I63" i="1"/>
  <c r="L64" i="1"/>
  <c r="L11" i="1"/>
  <c r="L109" i="1"/>
  <c r="J31" i="1"/>
  <c r="L39" i="1"/>
  <c r="G28" i="1"/>
  <c r="I103" i="1"/>
  <c r="J6" i="1"/>
  <c r="L213" i="1"/>
  <c r="J33" i="1"/>
  <c r="L15" i="1"/>
  <c r="I66" i="1"/>
  <c r="L88" i="1"/>
  <c r="J23" i="1"/>
  <c r="J34" i="1"/>
  <c r="L89" i="1"/>
  <c r="I95" i="1"/>
  <c r="L166" i="1"/>
  <c r="J50" i="1"/>
  <c r="L70" i="1"/>
  <c r="L129" i="1"/>
  <c r="L199" i="1"/>
  <c r="J49" i="1"/>
  <c r="L204" i="1"/>
  <c r="H33" i="1"/>
  <c r="L50" i="1"/>
  <c r="L46" i="1"/>
  <c r="N55" i="1"/>
  <c r="N31" i="1"/>
  <c r="L121" i="1"/>
  <c r="G42" i="1"/>
  <c r="J25" i="1"/>
  <c r="L146" i="1"/>
  <c r="L24" i="1"/>
  <c r="L167" i="1"/>
  <c r="N66" i="1"/>
  <c r="G23" i="1"/>
  <c r="J14" i="1"/>
  <c r="H29" i="1"/>
  <c r="G9" i="1"/>
  <c r="L137" i="1"/>
  <c r="I102" i="1"/>
  <c r="L197" i="1"/>
  <c r="H43" i="1"/>
  <c r="H58" i="1"/>
  <c r="L156" i="1"/>
  <c r="L211" i="1"/>
  <c r="J9" i="1"/>
  <c r="L179" i="1"/>
  <c r="L142" i="1"/>
  <c r="J29" i="1"/>
  <c r="H64" i="1"/>
  <c r="I67" i="1"/>
  <c r="H52" i="1"/>
  <c r="L163" i="1"/>
  <c r="G25" i="1"/>
  <c r="L59" i="1"/>
  <c r="I92" i="1"/>
  <c r="I62" i="1"/>
  <c r="I60" i="1"/>
  <c r="N44" i="1"/>
  <c r="I84" i="1"/>
  <c r="G17" i="1"/>
  <c r="G52" i="1"/>
  <c r="N42" i="1"/>
  <c r="L189" i="1"/>
  <c r="N30" i="1"/>
  <c r="I87" i="1"/>
  <c r="L91" i="1"/>
  <c r="I100" i="1"/>
  <c r="G45" i="1"/>
  <c r="L183" i="1"/>
  <c r="L100" i="1"/>
  <c r="H48" i="1"/>
  <c r="N26" i="1"/>
  <c r="I76" i="1"/>
  <c r="L195" i="1"/>
  <c r="H24" i="1"/>
  <c r="L174" i="1"/>
  <c r="N32" i="1"/>
  <c r="L165" i="1"/>
  <c r="L153" i="1"/>
  <c r="L60" i="1"/>
  <c r="J13" i="1"/>
  <c r="L216" i="1"/>
  <c r="L136" i="1"/>
  <c r="N40" i="1"/>
  <c r="G47" i="1"/>
  <c r="L181" i="1"/>
  <c r="I73" i="1"/>
  <c r="G24" i="1"/>
  <c r="L128" i="1"/>
  <c r="H63" i="1"/>
  <c r="G27" i="1"/>
  <c r="L168" i="1"/>
  <c r="L202" i="1"/>
  <c r="L21" i="1"/>
  <c r="H46" i="1"/>
  <c r="G36" i="1"/>
  <c r="L115" i="1"/>
  <c r="I82" i="1"/>
  <c r="J40" i="1"/>
  <c r="J52" i="1"/>
  <c r="J38" i="1"/>
  <c r="L23" i="1"/>
  <c r="L43" i="1"/>
  <c r="I81" i="1"/>
  <c r="N53" i="1"/>
  <c r="N54" i="1"/>
  <c r="G46" i="1"/>
  <c r="L87" i="1"/>
  <c r="L38" i="1"/>
  <c r="L215" i="1"/>
  <c r="L182" i="1"/>
  <c r="H55" i="1"/>
  <c r="L177" i="1"/>
  <c r="L105" i="1"/>
  <c r="L124" i="1"/>
  <c r="L135" i="1"/>
  <c r="L28" i="1"/>
  <c r="L185" i="1"/>
  <c r="L160" i="1"/>
  <c r="L214" i="1"/>
  <c r="L162" i="1"/>
  <c r="L27" i="1"/>
  <c r="H44" i="1"/>
  <c r="H54" i="1"/>
  <c r="L96" i="1"/>
  <c r="L210" i="1"/>
  <c r="H39" i="1"/>
  <c r="G57" i="1"/>
  <c r="L7" i="1"/>
  <c r="L86" i="1"/>
  <c r="J39" i="1"/>
  <c r="I98" i="1"/>
  <c r="N25" i="1"/>
  <c r="L8" i="1"/>
  <c r="H49" i="1"/>
  <c r="N34" i="1"/>
  <c r="L203" i="1"/>
  <c r="L37" i="1"/>
  <c r="L97" i="1"/>
  <c r="G37" i="1"/>
  <c r="L45" i="1"/>
  <c r="N71" i="1"/>
  <c r="H27" i="1"/>
  <c r="L4" i="1"/>
  <c r="H35" i="1"/>
  <c r="L158" i="1"/>
  <c r="L120" i="1"/>
  <c r="G30" i="1"/>
  <c r="J8" i="1"/>
  <c r="J54" i="1"/>
  <c r="H41" i="1"/>
  <c r="J15" i="1"/>
  <c r="H32" i="1"/>
  <c r="H47" i="1"/>
  <c r="H72" i="1"/>
  <c r="J12" i="1"/>
  <c r="J28" i="1"/>
  <c r="J4" i="1"/>
  <c r="L206" i="1"/>
  <c r="L155" i="1"/>
  <c r="L172" i="1"/>
  <c r="L20" i="1"/>
  <c r="N67" i="1"/>
  <c r="L65" i="1"/>
  <c r="H38" i="1"/>
  <c r="N72" i="1"/>
  <c r="L126" i="1"/>
  <c r="I71" i="1"/>
  <c r="L98" i="1"/>
  <c r="L170" i="1"/>
  <c r="I89" i="1"/>
  <c r="N52" i="1"/>
  <c r="G54" i="1"/>
  <c r="J27" i="1"/>
  <c r="L73" i="1"/>
  <c r="J36" i="1"/>
  <c r="L78" i="1"/>
  <c r="L113" i="1"/>
  <c r="G22" i="1"/>
  <c r="H37" i="1"/>
  <c r="N51" i="1"/>
  <c r="N73" i="1"/>
  <c r="I90" i="1"/>
  <c r="G59" i="1"/>
  <c r="K111" i="1"/>
  <c r="K152" i="1"/>
  <c r="K202" i="1"/>
  <c r="K121" i="1"/>
  <c r="K117" i="1"/>
  <c r="K167" i="1"/>
  <c r="K203" i="1"/>
  <c r="K175" i="1"/>
  <c r="K96" i="1"/>
  <c r="K103" i="1"/>
  <c r="K108" i="1"/>
  <c r="K110" i="1"/>
  <c r="K188" i="1"/>
  <c r="K186" i="1"/>
  <c r="K137" i="1"/>
  <c r="K138" i="1"/>
  <c r="K176" i="1"/>
  <c r="K185" i="1"/>
  <c r="K206" i="1"/>
  <c r="K181" i="1"/>
  <c r="K105" i="1"/>
  <c r="K107" i="1"/>
  <c r="K214" i="1"/>
  <c r="K132" i="1"/>
  <c r="K171" i="1"/>
  <c r="K197" i="1"/>
  <c r="K140" i="1"/>
  <c r="K190" i="1"/>
  <c r="K210" i="1"/>
  <c r="K177" i="1"/>
  <c r="K201" i="1"/>
  <c r="K109" i="1"/>
  <c r="K146" i="1"/>
  <c r="K95" i="1"/>
  <c r="K145" i="1"/>
  <c r="K144" i="1"/>
  <c r="K141" i="1"/>
  <c r="K142" i="1"/>
  <c r="K118" i="1"/>
  <c r="K119" i="1"/>
  <c r="K104" i="1"/>
  <c r="K215" i="1"/>
  <c r="K120" i="1"/>
  <c r="K169" i="1"/>
  <c r="K194" i="1"/>
  <c r="K127" i="1"/>
  <c r="K112" i="1"/>
  <c r="K217" i="1"/>
  <c r="K99" i="1"/>
  <c r="K149" i="1"/>
  <c r="K170" i="1"/>
  <c r="K178" i="1"/>
  <c r="K100" i="1"/>
  <c r="K128" i="1"/>
  <c r="K164" i="1"/>
  <c r="K147" i="1"/>
  <c r="K212" i="1"/>
  <c r="K106" i="1"/>
  <c r="K209" i="1"/>
  <c r="K153" i="1"/>
  <c r="K151" i="1"/>
  <c r="K114" i="1"/>
  <c r="K143" i="1"/>
  <c r="K198" i="1"/>
  <c r="K172" i="1"/>
  <c r="K136" i="1"/>
  <c r="K204" i="1"/>
  <c r="K131" i="1"/>
  <c r="K159" i="1"/>
  <c r="K148" i="1"/>
  <c r="K157" i="1"/>
  <c r="K173" i="1"/>
  <c r="K160" i="1"/>
  <c r="K116" i="1"/>
  <c r="K196" i="1"/>
  <c r="K163" i="1"/>
  <c r="K98" i="1"/>
  <c r="K182" i="1"/>
  <c r="K133" i="1"/>
  <c r="K150" i="1"/>
  <c r="K158" i="1"/>
  <c r="K189" i="1"/>
  <c r="K183" i="1"/>
  <c r="K193" i="1"/>
  <c r="K102" i="1"/>
  <c r="K166" i="1"/>
  <c r="K208" i="1"/>
  <c r="K195" i="1"/>
  <c r="K162" i="1"/>
  <c r="K168" i="1"/>
  <c r="K135" i="1"/>
  <c r="K174" i="1"/>
  <c r="K156" i="1"/>
  <c r="K130" i="1"/>
  <c r="K129" i="1"/>
  <c r="K154" i="1"/>
  <c r="K200" i="1"/>
  <c r="K126" i="1"/>
  <c r="K191" i="1"/>
  <c r="K184" i="1"/>
  <c r="K124" i="1"/>
  <c r="K123" i="1"/>
  <c r="K125" i="1"/>
  <c r="K97" i="1"/>
  <c r="K122" i="1"/>
  <c r="K139" i="1"/>
  <c r="K115" i="1"/>
  <c r="K113" i="1"/>
  <c r="K161" i="1"/>
  <c r="K216" i="1"/>
  <c r="K165" i="1"/>
  <c r="K134" i="1"/>
  <c r="K207" i="1"/>
  <c r="K205" i="1"/>
  <c r="K155" i="1"/>
  <c r="K199" i="1"/>
  <c r="K101" i="1"/>
  <c r="K179" i="1"/>
  <c r="K187" i="1"/>
  <c r="K180" i="1"/>
  <c r="K213" i="1"/>
  <c r="K211" i="1"/>
  <c r="K192" i="1"/>
  <c r="R66" i="1" l="1"/>
  <c r="R81" i="1"/>
  <c r="Q44" i="1"/>
  <c r="R44" i="1"/>
  <c r="Q94" i="1"/>
  <c r="R94" i="1"/>
  <c r="Q30" i="1"/>
  <c r="R30" i="1"/>
  <c r="Q52" i="1"/>
  <c r="R52" i="1"/>
  <c r="Q83" i="1"/>
  <c r="R83" i="1"/>
  <c r="Q85" i="1"/>
  <c r="R85" i="1"/>
  <c r="Q50" i="1"/>
  <c r="R50" i="1"/>
  <c r="Q65" i="1"/>
  <c r="R65" i="1"/>
  <c r="Q72" i="1"/>
  <c r="R72" i="1"/>
  <c r="Q79" i="1"/>
  <c r="R79" i="1"/>
  <c r="Q75" i="1"/>
  <c r="R75" i="1"/>
  <c r="Q71" i="1"/>
  <c r="R71" i="1"/>
  <c r="Q78" i="1"/>
  <c r="R78" i="1"/>
  <c r="Q29" i="1"/>
  <c r="R29" i="1"/>
  <c r="R36" i="1"/>
  <c r="Q67" i="1"/>
  <c r="R67" i="1"/>
  <c r="Q45" i="1"/>
  <c r="R45" i="1"/>
  <c r="Q34" i="1"/>
  <c r="R34" i="1"/>
  <c r="Q49" i="1"/>
  <c r="R49" i="1"/>
  <c r="Q56" i="1"/>
  <c r="R56" i="1"/>
  <c r="R63" i="1"/>
  <c r="Q61" i="1"/>
  <c r="R61" i="1"/>
  <c r="Q70" i="1"/>
  <c r="R70" i="1"/>
  <c r="Q92" i="1"/>
  <c r="R92" i="1"/>
  <c r="Q28" i="1"/>
  <c r="R28" i="1"/>
  <c r="Q59" i="1"/>
  <c r="R59" i="1"/>
  <c r="Q90" i="1"/>
  <c r="R90" i="1"/>
  <c r="Q26" i="1"/>
  <c r="R26" i="1"/>
  <c r="Q41" i="1"/>
  <c r="R41" i="1"/>
  <c r="Q48" i="1"/>
  <c r="R48" i="1"/>
  <c r="Q55" i="1"/>
  <c r="R55" i="1"/>
  <c r="Q77" i="1"/>
  <c r="R77" i="1"/>
  <c r="Q64" i="1"/>
  <c r="R64" i="1"/>
  <c r="Q62" i="1"/>
  <c r="R62" i="1"/>
  <c r="Q84" i="1"/>
  <c r="R84" i="1"/>
  <c r="Q93" i="1"/>
  <c r="R93" i="1"/>
  <c r="R51" i="1"/>
  <c r="Q82" i="1"/>
  <c r="R82" i="1"/>
  <c r="Q53" i="1"/>
  <c r="R53" i="1"/>
  <c r="Q33" i="1"/>
  <c r="R33" i="1"/>
  <c r="R40" i="1"/>
  <c r="Q39" i="1"/>
  <c r="R39" i="1"/>
  <c r="Q42" i="1"/>
  <c r="R42" i="1"/>
  <c r="Q54" i="1"/>
  <c r="R54" i="1"/>
  <c r="Q76" i="1"/>
  <c r="R76" i="1"/>
  <c r="R69" i="1"/>
  <c r="Q43" i="1"/>
  <c r="R43" i="1"/>
  <c r="R74" i="1"/>
  <c r="R89" i="1"/>
  <c r="R25" i="1"/>
  <c r="Q32" i="1"/>
  <c r="R32" i="1"/>
  <c r="Q31" i="1"/>
  <c r="R31" i="1"/>
  <c r="Q46" i="1"/>
  <c r="R46" i="1"/>
  <c r="Q68" i="1"/>
  <c r="R68" i="1"/>
  <c r="Q37" i="1"/>
  <c r="R37" i="1"/>
  <c r="R35" i="1"/>
  <c r="R88" i="1"/>
  <c r="R24" i="1"/>
  <c r="Q23" i="1"/>
  <c r="R23" i="1"/>
  <c r="Q86" i="1"/>
  <c r="R86" i="1"/>
  <c r="Q57" i="1"/>
  <c r="R57" i="1"/>
  <c r="Q47" i="1"/>
  <c r="R47" i="1"/>
  <c r="Q38" i="1"/>
  <c r="R38" i="1"/>
  <c r="Q60" i="1"/>
  <c r="R60" i="1"/>
  <c r="Q91" i="1"/>
  <c r="R91" i="1"/>
  <c r="Q27" i="1"/>
  <c r="R27" i="1"/>
  <c r="R58" i="1"/>
  <c r="R73" i="1"/>
  <c r="Q80" i="1"/>
  <c r="R80" i="1"/>
  <c r="Q87" i="1"/>
  <c r="R87" i="1"/>
  <c r="Q36" i="1"/>
  <c r="Q63" i="1"/>
  <c r="Q51" i="1"/>
  <c r="Q40" i="1"/>
  <c r="Q69" i="1"/>
  <c r="Q74" i="1"/>
  <c r="Q89" i="1"/>
  <c r="Q25" i="1"/>
  <c r="Q35" i="1"/>
  <c r="Q66" i="1"/>
  <c r="Q81" i="1"/>
  <c r="Q88" i="1"/>
  <c r="Q24" i="1"/>
  <c r="Q58" i="1"/>
  <c r="Q73" i="1"/>
  <c r="K92" i="1"/>
  <c r="K93" i="1"/>
  <c r="K91" i="1"/>
  <c r="K77" i="1"/>
  <c r="K94" i="1"/>
  <c r="K85" i="1"/>
  <c r="K90" i="1"/>
  <c r="K75" i="1"/>
  <c r="K88" i="1"/>
  <c r="K72" i="1"/>
  <c r="K81" i="1"/>
  <c r="M80" i="1"/>
  <c r="M19" i="1"/>
  <c r="M75" i="1"/>
  <c r="K78" i="1"/>
  <c r="M124" i="1"/>
  <c r="M186" i="1"/>
  <c r="M167" i="1"/>
  <c r="M154" i="1"/>
  <c r="K76" i="1"/>
  <c r="K89" i="1"/>
  <c r="K86" i="1"/>
  <c r="K74" i="1"/>
  <c r="K83" i="1"/>
  <c r="M16" i="1"/>
  <c r="M23" i="1"/>
  <c r="K87" i="1"/>
  <c r="K82" i="1"/>
  <c r="K84" i="1"/>
  <c r="K80" i="1"/>
  <c r="K73" i="1"/>
  <c r="K79" i="1"/>
  <c r="M57" i="1"/>
  <c r="M103" i="1"/>
  <c r="M148" i="1"/>
  <c r="K70" i="1"/>
  <c r="M178" i="1"/>
  <c r="M99" i="1"/>
  <c r="K48" i="1"/>
  <c r="M51" i="1"/>
  <c r="M214" i="1"/>
  <c r="K23" i="1"/>
  <c r="M29" i="1"/>
  <c r="M151" i="1"/>
  <c r="M122" i="1"/>
  <c r="M184" i="1"/>
  <c r="M161" i="1"/>
  <c r="M17" i="1"/>
  <c r="M191" i="1"/>
  <c r="M149" i="1"/>
  <c r="M79" i="1"/>
  <c r="M162" i="1"/>
  <c r="M205" i="1"/>
  <c r="M119" i="1"/>
  <c r="K61" i="1"/>
  <c r="M212" i="1"/>
  <c r="M52" i="1"/>
  <c r="M138" i="1"/>
  <c r="K27" i="1"/>
  <c r="M211" i="1"/>
  <c r="M69" i="1"/>
  <c r="M128" i="1"/>
  <c r="K30" i="1"/>
  <c r="K63" i="1"/>
  <c r="M142" i="1"/>
  <c r="K37" i="1"/>
  <c r="M216" i="1"/>
  <c r="M158" i="1"/>
  <c r="M47" i="1"/>
  <c r="M163" i="1"/>
  <c r="K55" i="1"/>
  <c r="M150" i="1"/>
  <c r="M113" i="1"/>
  <c r="K58" i="1"/>
  <c r="M181" i="1"/>
  <c r="M28" i="1"/>
  <c r="M32" i="1"/>
  <c r="M37" i="1"/>
  <c r="M101" i="1"/>
  <c r="M58" i="1"/>
  <c r="K29" i="1"/>
  <c r="K33" i="1"/>
  <c r="M64" i="1"/>
  <c r="M182" i="1"/>
  <c r="M81" i="1"/>
  <c r="M39" i="1"/>
  <c r="M207" i="1"/>
  <c r="M30" i="1"/>
  <c r="M210" i="1"/>
  <c r="M94" i="1"/>
  <c r="M133" i="1"/>
  <c r="K59" i="1"/>
  <c r="K36" i="1"/>
  <c r="K24" i="1"/>
  <c r="M166" i="1"/>
  <c r="M60" i="1"/>
  <c r="M130" i="1"/>
  <c r="M139" i="1"/>
  <c r="K53" i="1"/>
  <c r="M74" i="1"/>
  <c r="M200" i="1"/>
  <c r="M137" i="1"/>
  <c r="M134" i="1"/>
  <c r="M56" i="1"/>
  <c r="M25" i="1"/>
  <c r="M70" i="1"/>
  <c r="M213" i="1"/>
  <c r="M89" i="1"/>
  <c r="K32" i="1"/>
  <c r="M176" i="1"/>
  <c r="M71" i="1"/>
  <c r="M45" i="1"/>
  <c r="K56" i="1"/>
  <c r="M76" i="1"/>
  <c r="M110" i="1"/>
  <c r="M168" i="1"/>
  <c r="M177" i="1"/>
  <c r="M48" i="1"/>
  <c r="M102" i="1"/>
  <c r="M179" i="1"/>
  <c r="K60" i="1"/>
  <c r="K71" i="1"/>
  <c r="M86" i="1"/>
  <c r="M131" i="1"/>
  <c r="M165" i="1"/>
  <c r="M185" i="1"/>
  <c r="M33" i="1"/>
  <c r="M129" i="1"/>
  <c r="M87" i="1"/>
  <c r="M157" i="1"/>
  <c r="M175" i="1"/>
  <c r="K43" i="1"/>
  <c r="K64" i="1"/>
  <c r="M54" i="1"/>
  <c r="K66" i="1"/>
  <c r="M208" i="1"/>
  <c r="M100" i="1"/>
  <c r="M59" i="1"/>
  <c r="M180" i="1"/>
  <c r="K42" i="1"/>
  <c r="K31" i="1"/>
  <c r="M73" i="1"/>
  <c r="M147" i="1"/>
  <c r="M155" i="1"/>
  <c r="K22" i="1"/>
  <c r="M84" i="1"/>
  <c r="M136" i="1"/>
  <c r="M199" i="1"/>
  <c r="K54" i="1"/>
  <c r="M121" i="1"/>
  <c r="M53" i="1"/>
  <c r="M95" i="1"/>
  <c r="M98" i="1"/>
  <c r="K41" i="1"/>
  <c r="M198" i="1"/>
  <c r="M183" i="1"/>
  <c r="M152" i="1"/>
  <c r="M62" i="1"/>
  <c r="M189" i="1"/>
  <c r="M140" i="1"/>
  <c r="K68" i="1"/>
  <c r="M201" i="1"/>
  <c r="M105" i="1"/>
  <c r="K57" i="1"/>
  <c r="M41" i="1"/>
  <c r="M172" i="1"/>
  <c r="M85" i="1"/>
  <c r="M174" i="1"/>
  <c r="M90" i="1"/>
  <c r="M97" i="1"/>
  <c r="M61" i="1"/>
  <c r="K51" i="1"/>
  <c r="M120" i="1"/>
  <c r="M104" i="1"/>
  <c r="K25" i="1"/>
  <c r="M145" i="1"/>
  <c r="M160" i="1"/>
  <c r="M156" i="1"/>
  <c r="K49" i="1"/>
  <c r="M44" i="1"/>
  <c r="M125" i="1"/>
  <c r="M49" i="1"/>
  <c r="M196" i="1"/>
  <c r="M38" i="1"/>
  <c r="M65" i="1"/>
  <c r="K67" i="1"/>
  <c r="M88" i="1"/>
  <c r="M106" i="1"/>
  <c r="M24" i="1"/>
  <c r="M109" i="1"/>
  <c r="K69" i="1"/>
  <c r="M173" i="1"/>
  <c r="M187" i="1"/>
  <c r="M194" i="1"/>
  <c r="M215" i="1"/>
  <c r="M190" i="1"/>
  <c r="M77" i="1"/>
  <c r="M197" i="1"/>
  <c r="M18" i="1"/>
  <c r="M135" i="1"/>
  <c r="M116" i="1"/>
  <c r="M206" i="1"/>
  <c r="M146" i="1"/>
  <c r="M170" i="1"/>
  <c r="K62" i="1"/>
  <c r="M35" i="1"/>
  <c r="M171" i="1"/>
  <c r="M143" i="1"/>
  <c r="M26" i="1"/>
  <c r="M107" i="1"/>
  <c r="M132" i="1"/>
  <c r="M115" i="1"/>
  <c r="M42" i="1"/>
  <c r="M21" i="1"/>
  <c r="M218" i="1"/>
  <c r="M204" i="1"/>
  <c r="M46" i="1"/>
  <c r="M153" i="1"/>
  <c r="M108" i="1"/>
  <c r="M22" i="1"/>
  <c r="M83" i="1"/>
  <c r="M217" i="1"/>
  <c r="K44" i="1"/>
  <c r="M118" i="1"/>
  <c r="K28" i="1"/>
  <c r="K39" i="1"/>
  <c r="K52" i="1"/>
  <c r="K26" i="1"/>
  <c r="M96" i="1"/>
  <c r="M203" i="1"/>
  <c r="M193" i="1"/>
  <c r="M127" i="1"/>
  <c r="M188" i="1"/>
  <c r="M126" i="1"/>
  <c r="M112" i="1"/>
  <c r="K47" i="1"/>
  <c r="M78" i="1"/>
  <c r="M117" i="1"/>
  <c r="K35" i="1"/>
  <c r="M55" i="1"/>
  <c r="M209" i="1"/>
  <c r="M169" i="1"/>
  <c r="M82" i="1"/>
  <c r="M31" i="1"/>
  <c r="M114" i="1"/>
  <c r="M92" i="1"/>
  <c r="M27" i="1"/>
  <c r="M20" i="1"/>
  <c r="M68" i="1"/>
  <c r="K46" i="1"/>
  <c r="M159" i="1"/>
  <c r="M141" i="1"/>
  <c r="M34" i="1"/>
  <c r="M36" i="1"/>
  <c r="M192" i="1"/>
  <c r="M72" i="1"/>
  <c r="M40" i="1"/>
  <c r="K38" i="1"/>
  <c r="M43" i="1"/>
  <c r="M144" i="1"/>
  <c r="M195" i="1"/>
  <c r="M66" i="1"/>
  <c r="M91" i="1"/>
  <c r="M111" i="1"/>
  <c r="K34" i="1"/>
  <c r="K40" i="1"/>
  <c r="K65" i="1"/>
  <c r="M202" i="1"/>
  <c r="M164" i="1"/>
  <c r="M93" i="1"/>
  <c r="M123" i="1"/>
  <c r="M50" i="1"/>
  <c r="M67" i="1"/>
  <c r="K50" i="1"/>
  <c r="M63" i="1"/>
  <c r="K45" i="1"/>
  <c r="R22" i="1" l="1"/>
  <c r="Q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9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</futureMetadata>
  <cellMetadata count="1">
    <bk>
      <rc t="1" v="0"/>
    </bk>
  </cellMetadata>
  <valueMetadata count="89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</valueMetadata>
</metadata>
</file>

<file path=xl/sharedStrings.xml><?xml version="1.0" encoding="utf-8"?>
<sst xmlns="http://schemas.openxmlformats.org/spreadsheetml/2006/main" count="15" uniqueCount="15">
  <si>
    <t>Cum Daily Returns</t>
  </si>
  <si>
    <t>Rolling Volatility</t>
  </si>
  <si>
    <t>7 Day MA</t>
  </si>
  <si>
    <t>20 Day MA</t>
  </si>
  <si>
    <t>50 Day MA</t>
  </si>
  <si>
    <t>High Low</t>
  </si>
  <si>
    <t>High Low 20Day MA</t>
  </si>
  <si>
    <t>20 Day Volume MA</t>
  </si>
  <si>
    <t>Calculated Columns</t>
  </si>
  <si>
    <t>Stock History Data</t>
  </si>
  <si>
    <t>Bollinger Bands</t>
  </si>
  <si>
    <t>20 Day</t>
  </si>
  <si>
    <t>STDEV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</si>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</sst>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164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43" fontId="4" fillId="4" borderId="2" xfId="1" applyFont="1" applyFill="1" applyBorder="1" applyAlignment="1">
      <alignment horizontal="center"/>
    </xf>
    <xf numFmtId="43" fontId="4" fillId="4" borderId="0" xfId="1" applyFont="1" applyFill="1" applyAlignment="1">
      <alignment horizontal="center"/>
    </xf>
    <xf numFmtId="0" fontId="5" fillId="5" borderId="0" xfId="0" applyFont="1" applyFill="1" applyAlignment="1">
      <alignment horizontal="center"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AMS</a:t>
            </a:r>
            <a:r>
              <a:rPr lang="en-US" baseline="0"/>
              <a:t> 50 Day 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Stocks'!$B$1:$B$2</c:f>
              <c:strCache>
                <c:ptCount val="2"/>
                <c:pt idx="0">
                  <c:v>Stock History Data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Stocks'!$B$3:$B$219</c:f>
              <c:numCache>
                <c:formatCode>_([$$-409]* #,##0.00_);_([$$-409]* \(#,##0.00\);_([$$-409]* "-"??_);_(@_)</c:formatCode>
                <c:ptCount val="217"/>
                <c:pt idx="0">
                  <c:v>9.4972999999999992</c:v>
                </c:pt>
                <c:pt idx="1">
                  <c:v>9.7236999999999991</c:v>
                </c:pt>
                <c:pt idx="2">
                  <c:v>9.7630999999999997</c:v>
                </c:pt>
                <c:pt idx="3">
                  <c:v>9.6056000000000008</c:v>
                </c:pt>
                <c:pt idx="4">
                  <c:v>9.5859000000000005</c:v>
                </c:pt>
                <c:pt idx="5">
                  <c:v>9.4972999999999992</c:v>
                </c:pt>
                <c:pt idx="6">
                  <c:v>9.5564</c:v>
                </c:pt>
                <c:pt idx="7">
                  <c:v>9.6252999999999993</c:v>
                </c:pt>
                <c:pt idx="8">
                  <c:v>9.7926000000000002</c:v>
                </c:pt>
                <c:pt idx="9">
                  <c:v>9.8515999999999995</c:v>
                </c:pt>
                <c:pt idx="10">
                  <c:v>10.019</c:v>
                </c:pt>
                <c:pt idx="11">
                  <c:v>10.265000000000001</c:v>
                </c:pt>
                <c:pt idx="12">
                  <c:v>9.8712999999999997</c:v>
                </c:pt>
                <c:pt idx="13">
                  <c:v>9.9992999999999999</c:v>
                </c:pt>
                <c:pt idx="14">
                  <c:v>9.9598999999999993</c:v>
                </c:pt>
                <c:pt idx="15">
                  <c:v>10.2158</c:v>
                </c:pt>
                <c:pt idx="16">
                  <c:v>9.9205000000000005</c:v>
                </c:pt>
                <c:pt idx="17">
                  <c:v>10.048500000000001</c:v>
                </c:pt>
                <c:pt idx="18">
                  <c:v>9.9992999999999999</c:v>
                </c:pt>
                <c:pt idx="19">
                  <c:v>9.9205000000000005</c:v>
                </c:pt>
                <c:pt idx="20">
                  <c:v>9.7334999999999994</c:v>
                </c:pt>
                <c:pt idx="21">
                  <c:v>9.9992999999999999</c:v>
                </c:pt>
                <c:pt idx="22">
                  <c:v>9.8515999999999995</c:v>
                </c:pt>
                <c:pt idx="23">
                  <c:v>9.1135000000000002</c:v>
                </c:pt>
                <c:pt idx="24">
                  <c:v>9.0937999999999999</c:v>
                </c:pt>
                <c:pt idx="25">
                  <c:v>9.0937999999999999</c:v>
                </c:pt>
                <c:pt idx="26">
                  <c:v>9.0642999999999994</c:v>
                </c:pt>
                <c:pt idx="27">
                  <c:v>9.0839999999999996</c:v>
                </c:pt>
                <c:pt idx="28">
                  <c:v>9.2020999999999997</c:v>
                </c:pt>
                <c:pt idx="29">
                  <c:v>9.33</c:v>
                </c:pt>
                <c:pt idx="30">
                  <c:v>9.2899999999999991</c:v>
                </c:pt>
                <c:pt idx="31">
                  <c:v>9.34</c:v>
                </c:pt>
                <c:pt idx="32">
                  <c:v>9.39</c:v>
                </c:pt>
                <c:pt idx="33">
                  <c:v>9.2799999999999994</c:v>
                </c:pt>
                <c:pt idx="34">
                  <c:v>9.35</c:v>
                </c:pt>
                <c:pt idx="35">
                  <c:v>9.42</c:v>
                </c:pt>
                <c:pt idx="36">
                  <c:v>9.4700000000000006</c:v>
                </c:pt>
                <c:pt idx="37">
                  <c:v>9.2899999999999991</c:v>
                </c:pt>
                <c:pt idx="38">
                  <c:v>9.5500000000000007</c:v>
                </c:pt>
                <c:pt idx="39">
                  <c:v>9.39</c:v>
                </c:pt>
                <c:pt idx="40">
                  <c:v>9.1199999999999992</c:v>
                </c:pt>
                <c:pt idx="41">
                  <c:v>9.65</c:v>
                </c:pt>
                <c:pt idx="42">
                  <c:v>9.61</c:v>
                </c:pt>
                <c:pt idx="43">
                  <c:v>9.9</c:v>
                </c:pt>
                <c:pt idx="44">
                  <c:v>9.9600000000000009</c:v>
                </c:pt>
                <c:pt idx="45">
                  <c:v>9.69</c:v>
                </c:pt>
                <c:pt idx="46">
                  <c:v>9.59</c:v>
                </c:pt>
                <c:pt idx="47">
                  <c:v>9.5299999999999994</c:v>
                </c:pt>
                <c:pt idx="48">
                  <c:v>9.73</c:v>
                </c:pt>
                <c:pt idx="49">
                  <c:v>9.92</c:v>
                </c:pt>
                <c:pt idx="50">
                  <c:v>9.9499999999999993</c:v>
                </c:pt>
                <c:pt idx="51">
                  <c:v>10.17</c:v>
                </c:pt>
                <c:pt idx="52">
                  <c:v>10.01</c:v>
                </c:pt>
                <c:pt idx="53">
                  <c:v>10</c:v>
                </c:pt>
                <c:pt idx="54">
                  <c:v>10.25</c:v>
                </c:pt>
                <c:pt idx="55">
                  <c:v>10.29</c:v>
                </c:pt>
                <c:pt idx="56">
                  <c:v>10.3</c:v>
                </c:pt>
                <c:pt idx="57">
                  <c:v>9.9</c:v>
                </c:pt>
                <c:pt idx="58">
                  <c:v>9.7200000000000006</c:v>
                </c:pt>
                <c:pt idx="59">
                  <c:v>10.029999999999999</c:v>
                </c:pt>
                <c:pt idx="60">
                  <c:v>9.94</c:v>
                </c:pt>
                <c:pt idx="61">
                  <c:v>10.15</c:v>
                </c:pt>
                <c:pt idx="62">
                  <c:v>9.5399999999999991</c:v>
                </c:pt>
                <c:pt idx="63">
                  <c:v>9.58</c:v>
                </c:pt>
                <c:pt idx="64">
                  <c:v>9.24</c:v>
                </c:pt>
                <c:pt idx="65">
                  <c:v>8.69</c:v>
                </c:pt>
                <c:pt idx="66">
                  <c:v>9.5</c:v>
                </c:pt>
                <c:pt idx="67">
                  <c:v>9.14</c:v>
                </c:pt>
                <c:pt idx="68">
                  <c:v>9.33</c:v>
                </c:pt>
                <c:pt idx="69">
                  <c:v>9.7100000000000009</c:v>
                </c:pt>
                <c:pt idx="70">
                  <c:v>9.4499999999999993</c:v>
                </c:pt>
                <c:pt idx="71">
                  <c:v>9.4</c:v>
                </c:pt>
                <c:pt idx="72">
                  <c:v>9.6300000000000008</c:v>
                </c:pt>
                <c:pt idx="73">
                  <c:v>9.4700000000000006</c:v>
                </c:pt>
                <c:pt idx="74">
                  <c:v>9.65</c:v>
                </c:pt>
                <c:pt idx="75">
                  <c:v>9.7799999999999994</c:v>
                </c:pt>
                <c:pt idx="76">
                  <c:v>10.06</c:v>
                </c:pt>
                <c:pt idx="77">
                  <c:v>10.039999999999999</c:v>
                </c:pt>
                <c:pt idx="78">
                  <c:v>10.02</c:v>
                </c:pt>
                <c:pt idx="79">
                  <c:v>10.15</c:v>
                </c:pt>
                <c:pt idx="80">
                  <c:v>10.01</c:v>
                </c:pt>
                <c:pt idx="81">
                  <c:v>10.18</c:v>
                </c:pt>
                <c:pt idx="82">
                  <c:v>10.28</c:v>
                </c:pt>
                <c:pt idx="83">
                  <c:v>10.17</c:v>
                </c:pt>
                <c:pt idx="84">
                  <c:v>10.44</c:v>
                </c:pt>
                <c:pt idx="85">
                  <c:v>10.28</c:v>
                </c:pt>
                <c:pt idx="86">
                  <c:v>10.28</c:v>
                </c:pt>
                <c:pt idx="87">
                  <c:v>10.43</c:v>
                </c:pt>
                <c:pt idx="88">
                  <c:v>10.55</c:v>
                </c:pt>
                <c:pt idx="89">
                  <c:v>10.6</c:v>
                </c:pt>
                <c:pt idx="90">
                  <c:v>10.65</c:v>
                </c:pt>
                <c:pt idx="91">
                  <c:v>10.75</c:v>
                </c:pt>
                <c:pt idx="92">
                  <c:v>10.8</c:v>
                </c:pt>
                <c:pt idx="93">
                  <c:v>10.75</c:v>
                </c:pt>
                <c:pt idx="94">
                  <c:v>10.72</c:v>
                </c:pt>
                <c:pt idx="95">
                  <c:v>10.48</c:v>
                </c:pt>
                <c:pt idx="96">
                  <c:v>10.44</c:v>
                </c:pt>
                <c:pt idx="97">
                  <c:v>10.36</c:v>
                </c:pt>
                <c:pt idx="98">
                  <c:v>10.31</c:v>
                </c:pt>
                <c:pt idx="99">
                  <c:v>10.17</c:v>
                </c:pt>
                <c:pt idx="100">
                  <c:v>10.220000000000001</c:v>
                </c:pt>
                <c:pt idx="101">
                  <c:v>10.38</c:v>
                </c:pt>
                <c:pt idx="102">
                  <c:v>9.98</c:v>
                </c:pt>
                <c:pt idx="103">
                  <c:v>10.19</c:v>
                </c:pt>
                <c:pt idx="104">
                  <c:v>10.24</c:v>
                </c:pt>
                <c:pt idx="105">
                  <c:v>10.1</c:v>
                </c:pt>
                <c:pt idx="106">
                  <c:v>10.26</c:v>
                </c:pt>
                <c:pt idx="107">
                  <c:v>10.34</c:v>
                </c:pt>
                <c:pt idx="108">
                  <c:v>10.6</c:v>
                </c:pt>
                <c:pt idx="109">
                  <c:v>10.66</c:v>
                </c:pt>
                <c:pt idx="110">
                  <c:v>10.53</c:v>
                </c:pt>
                <c:pt idx="111">
                  <c:v>10.43</c:v>
                </c:pt>
                <c:pt idx="112">
                  <c:v>10.62</c:v>
                </c:pt>
                <c:pt idx="113">
                  <c:v>10.42</c:v>
                </c:pt>
                <c:pt idx="114">
                  <c:v>10.43</c:v>
                </c:pt>
                <c:pt idx="115">
                  <c:v>10.59</c:v>
                </c:pt>
                <c:pt idx="116">
                  <c:v>10.75</c:v>
                </c:pt>
                <c:pt idx="117">
                  <c:v>10.73</c:v>
                </c:pt>
                <c:pt idx="118">
                  <c:v>10.48</c:v>
                </c:pt>
                <c:pt idx="119">
                  <c:v>10.63</c:v>
                </c:pt>
                <c:pt idx="120">
                  <c:v>10.8</c:v>
                </c:pt>
                <c:pt idx="121">
                  <c:v>10.85</c:v>
                </c:pt>
                <c:pt idx="122">
                  <c:v>11.35</c:v>
                </c:pt>
                <c:pt idx="123">
                  <c:v>11.77</c:v>
                </c:pt>
                <c:pt idx="124">
                  <c:v>11.81</c:v>
                </c:pt>
                <c:pt idx="125">
                  <c:v>11.59</c:v>
                </c:pt>
                <c:pt idx="126">
                  <c:v>11.68</c:v>
                </c:pt>
                <c:pt idx="127">
                  <c:v>11.83</c:v>
                </c:pt>
                <c:pt idx="128">
                  <c:v>11.91</c:v>
                </c:pt>
                <c:pt idx="129">
                  <c:v>11.78</c:v>
                </c:pt>
                <c:pt idx="130">
                  <c:v>11.88</c:v>
                </c:pt>
                <c:pt idx="131">
                  <c:v>11.57</c:v>
                </c:pt>
                <c:pt idx="132">
                  <c:v>11.24</c:v>
                </c:pt>
                <c:pt idx="133">
                  <c:v>11.15</c:v>
                </c:pt>
                <c:pt idx="134">
                  <c:v>11.16</c:v>
                </c:pt>
                <c:pt idx="135">
                  <c:v>11.31</c:v>
                </c:pt>
                <c:pt idx="136">
                  <c:v>11.19</c:v>
                </c:pt>
                <c:pt idx="137">
                  <c:v>11.38</c:v>
                </c:pt>
                <c:pt idx="138">
                  <c:v>11.26</c:v>
                </c:pt>
                <c:pt idx="139">
                  <c:v>11.47</c:v>
                </c:pt>
                <c:pt idx="140">
                  <c:v>11.28</c:v>
                </c:pt>
                <c:pt idx="141">
                  <c:v>11.08</c:v>
                </c:pt>
                <c:pt idx="142">
                  <c:v>10.87</c:v>
                </c:pt>
                <c:pt idx="143">
                  <c:v>11.07</c:v>
                </c:pt>
                <c:pt idx="144">
                  <c:v>10.82</c:v>
                </c:pt>
                <c:pt idx="145">
                  <c:v>10.95</c:v>
                </c:pt>
                <c:pt idx="146">
                  <c:v>11.06</c:v>
                </c:pt>
                <c:pt idx="147">
                  <c:v>11.21</c:v>
                </c:pt>
                <c:pt idx="148">
                  <c:v>11.28</c:v>
                </c:pt>
                <c:pt idx="149">
                  <c:v>11.32</c:v>
                </c:pt>
                <c:pt idx="150">
                  <c:v>11.14</c:v>
                </c:pt>
                <c:pt idx="151">
                  <c:v>11.25</c:v>
                </c:pt>
                <c:pt idx="152">
                  <c:v>11.44</c:v>
                </c:pt>
                <c:pt idx="153">
                  <c:v>11.44</c:v>
                </c:pt>
                <c:pt idx="154">
                  <c:v>11.44</c:v>
                </c:pt>
                <c:pt idx="155">
                  <c:v>11.46</c:v>
                </c:pt>
                <c:pt idx="156">
                  <c:v>11.58</c:v>
                </c:pt>
                <c:pt idx="157">
                  <c:v>11.49</c:v>
                </c:pt>
                <c:pt idx="158">
                  <c:v>11.33</c:v>
                </c:pt>
                <c:pt idx="159">
                  <c:v>11.74</c:v>
                </c:pt>
                <c:pt idx="160">
                  <c:v>11.82</c:v>
                </c:pt>
                <c:pt idx="161">
                  <c:v>11.84</c:v>
                </c:pt>
                <c:pt idx="162">
                  <c:v>11.91</c:v>
                </c:pt>
                <c:pt idx="163">
                  <c:v>11.71</c:v>
                </c:pt>
                <c:pt idx="164">
                  <c:v>11.77</c:v>
                </c:pt>
                <c:pt idx="165">
                  <c:v>11.72</c:v>
                </c:pt>
                <c:pt idx="166">
                  <c:v>11.62</c:v>
                </c:pt>
                <c:pt idx="167">
                  <c:v>11.68</c:v>
                </c:pt>
                <c:pt idx="168">
                  <c:v>11.74</c:v>
                </c:pt>
                <c:pt idx="169">
                  <c:v>11.69</c:v>
                </c:pt>
                <c:pt idx="170">
                  <c:v>11.49</c:v>
                </c:pt>
                <c:pt idx="171">
                  <c:v>11.42</c:v>
                </c:pt>
                <c:pt idx="172">
                  <c:v>11.76</c:v>
                </c:pt>
                <c:pt idx="173">
                  <c:v>11.68</c:v>
                </c:pt>
                <c:pt idx="174">
                  <c:v>11.68</c:v>
                </c:pt>
                <c:pt idx="175">
                  <c:v>11.61</c:v>
                </c:pt>
                <c:pt idx="176">
                  <c:v>11.66</c:v>
                </c:pt>
                <c:pt idx="177">
                  <c:v>11.74</c:v>
                </c:pt>
                <c:pt idx="178">
                  <c:v>11.62</c:v>
                </c:pt>
                <c:pt idx="179">
                  <c:v>11.66</c:v>
                </c:pt>
                <c:pt idx="180">
                  <c:v>11.73</c:v>
                </c:pt>
                <c:pt idx="181">
                  <c:v>11.63</c:v>
                </c:pt>
                <c:pt idx="182">
                  <c:v>11.62</c:v>
                </c:pt>
                <c:pt idx="183">
                  <c:v>12.01</c:v>
                </c:pt>
                <c:pt idx="184">
                  <c:v>12.09</c:v>
                </c:pt>
                <c:pt idx="185">
                  <c:v>11.96</c:v>
                </c:pt>
                <c:pt idx="186">
                  <c:v>12.27</c:v>
                </c:pt>
                <c:pt idx="187">
                  <c:v>12.22</c:v>
                </c:pt>
                <c:pt idx="188">
                  <c:v>12.67</c:v>
                </c:pt>
                <c:pt idx="189">
                  <c:v>12.7</c:v>
                </c:pt>
                <c:pt idx="190">
                  <c:v>11.92</c:v>
                </c:pt>
                <c:pt idx="191">
                  <c:v>11.74</c:v>
                </c:pt>
                <c:pt idx="192">
                  <c:v>11.5</c:v>
                </c:pt>
                <c:pt idx="193">
                  <c:v>11.41</c:v>
                </c:pt>
                <c:pt idx="194">
                  <c:v>11.54</c:v>
                </c:pt>
                <c:pt idx="195">
                  <c:v>11.65</c:v>
                </c:pt>
                <c:pt idx="196">
                  <c:v>11.76</c:v>
                </c:pt>
                <c:pt idx="197">
                  <c:v>11.74</c:v>
                </c:pt>
                <c:pt idx="198">
                  <c:v>11.92</c:v>
                </c:pt>
                <c:pt idx="199">
                  <c:v>11.99</c:v>
                </c:pt>
                <c:pt idx="200">
                  <c:v>12.56</c:v>
                </c:pt>
                <c:pt idx="201">
                  <c:v>12.43</c:v>
                </c:pt>
                <c:pt idx="202">
                  <c:v>12.34</c:v>
                </c:pt>
                <c:pt idx="203">
                  <c:v>13.84</c:v>
                </c:pt>
                <c:pt idx="204">
                  <c:v>13.26</c:v>
                </c:pt>
                <c:pt idx="205">
                  <c:v>13.13</c:v>
                </c:pt>
                <c:pt idx="206">
                  <c:v>13.24</c:v>
                </c:pt>
                <c:pt idx="207">
                  <c:v>13.06</c:v>
                </c:pt>
                <c:pt idx="208">
                  <c:v>13.13</c:v>
                </c:pt>
                <c:pt idx="209">
                  <c:v>13.01</c:v>
                </c:pt>
                <c:pt idx="210">
                  <c:v>12.79</c:v>
                </c:pt>
                <c:pt idx="211">
                  <c:v>13.11</c:v>
                </c:pt>
                <c:pt idx="212">
                  <c:v>13.12</c:v>
                </c:pt>
                <c:pt idx="213">
                  <c:v>13.21</c:v>
                </c:pt>
                <c:pt idx="214">
                  <c:v>13.16</c:v>
                </c:pt>
                <c:pt idx="215">
                  <c:v>13.3</c:v>
                </c:pt>
                <c:pt idx="216">
                  <c:v>13.45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1-4AE0-8BE0-63EA96ED6651}"/>
            </c:ext>
          </c:extLst>
        </c:ser>
        <c:ser>
          <c:idx val="1"/>
          <c:order val="1"/>
          <c:tx>
            <c:strRef>
              <c:f>'US Stocks'!$I$1:$I$2</c:f>
              <c:strCache>
                <c:ptCount val="2"/>
                <c:pt idx="0">
                  <c:v> Calculated Columns </c:v>
                </c:pt>
                <c:pt idx="1">
                  <c:v> 50 Day 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Stocks'!$I$3:$I$219</c:f>
              <c:numCache>
                <c:formatCode>_(* #,##0.00_);_(* \(#,##0.00\);_(* "-"??_);_(@_)</c:formatCode>
                <c:ptCount val="217"/>
                <c:pt idx="49">
                  <c:v>9.6150759999999984</c:v>
                </c:pt>
                <c:pt idx="50">
                  <c:v>9.6241299999999974</c:v>
                </c:pt>
                <c:pt idx="51">
                  <c:v>9.6330559999999981</c:v>
                </c:pt>
                <c:pt idx="52">
                  <c:v>9.6379939999999991</c:v>
                </c:pt>
                <c:pt idx="53">
                  <c:v>9.6458819999999985</c:v>
                </c:pt>
                <c:pt idx="54">
                  <c:v>9.6591639999999988</c:v>
                </c:pt>
                <c:pt idx="55">
                  <c:v>9.6750179999999997</c:v>
                </c:pt>
                <c:pt idx="56">
                  <c:v>9.6898900000000001</c:v>
                </c:pt>
                <c:pt idx="57">
                  <c:v>9.6953839999999989</c:v>
                </c:pt>
                <c:pt idx="58">
                  <c:v>9.6939320000000002</c:v>
                </c:pt>
                <c:pt idx="59">
                  <c:v>9.697499999999998</c:v>
                </c:pt>
                <c:pt idx="60">
                  <c:v>9.6959199999999992</c:v>
                </c:pt>
                <c:pt idx="61">
                  <c:v>9.6936199999999992</c:v>
                </c:pt>
                <c:pt idx="62">
                  <c:v>9.6869940000000003</c:v>
                </c:pt>
                <c:pt idx="63">
                  <c:v>9.6786079999999988</c:v>
                </c:pt>
                <c:pt idx="64">
                  <c:v>9.6642099999999989</c:v>
                </c:pt>
                <c:pt idx="65">
                  <c:v>9.6336939999999984</c:v>
                </c:pt>
                <c:pt idx="66">
                  <c:v>9.6252840000000006</c:v>
                </c:pt>
                <c:pt idx="67">
                  <c:v>9.6071139999999993</c:v>
                </c:pt>
                <c:pt idx="68">
                  <c:v>9.5937279999999987</c:v>
                </c:pt>
                <c:pt idx="69">
                  <c:v>9.589518</c:v>
                </c:pt>
                <c:pt idx="70">
                  <c:v>9.5838479999999997</c:v>
                </c:pt>
                <c:pt idx="71">
                  <c:v>9.5718619999999976</c:v>
                </c:pt>
                <c:pt idx="72">
                  <c:v>9.5674299999999981</c:v>
                </c:pt>
                <c:pt idx="73">
                  <c:v>9.5745599999999982</c:v>
                </c:pt>
                <c:pt idx="74">
                  <c:v>9.585683999999997</c:v>
                </c:pt>
                <c:pt idx="75">
                  <c:v>9.5994079999999968</c:v>
                </c:pt>
                <c:pt idx="76">
                  <c:v>9.6193219999999968</c:v>
                </c:pt>
                <c:pt idx="77">
                  <c:v>9.638441999999996</c:v>
                </c:pt>
                <c:pt idx="78">
                  <c:v>9.6547999999999963</c:v>
                </c:pt>
                <c:pt idx="79">
                  <c:v>9.6711999999999954</c:v>
                </c:pt>
                <c:pt idx="80">
                  <c:v>9.6855999999999955</c:v>
                </c:pt>
                <c:pt idx="81">
                  <c:v>9.7023999999999972</c:v>
                </c:pt>
                <c:pt idx="82">
                  <c:v>9.7201999999999948</c:v>
                </c:pt>
                <c:pt idx="83">
                  <c:v>9.737999999999996</c:v>
                </c:pt>
                <c:pt idx="84">
                  <c:v>9.7597999999999967</c:v>
                </c:pt>
                <c:pt idx="85">
                  <c:v>9.7769999999999957</c:v>
                </c:pt>
                <c:pt idx="86">
                  <c:v>9.7931999999999952</c:v>
                </c:pt>
                <c:pt idx="87">
                  <c:v>9.8159999999999972</c:v>
                </c:pt>
                <c:pt idx="88">
                  <c:v>9.8359999999999967</c:v>
                </c:pt>
                <c:pt idx="89">
                  <c:v>9.8601999999999972</c:v>
                </c:pt>
                <c:pt idx="90">
                  <c:v>9.8907999999999969</c:v>
                </c:pt>
                <c:pt idx="91">
                  <c:v>9.9127999999999972</c:v>
                </c:pt>
                <c:pt idx="92">
                  <c:v>9.9365999999999985</c:v>
                </c:pt>
                <c:pt idx="93">
                  <c:v>9.9535999999999998</c:v>
                </c:pt>
                <c:pt idx="94">
                  <c:v>9.9687999999999981</c:v>
                </c:pt>
                <c:pt idx="95">
                  <c:v>9.9846000000000004</c:v>
                </c:pt>
                <c:pt idx="96">
                  <c:v>10.001599999999998</c:v>
                </c:pt>
                <c:pt idx="97">
                  <c:v>10.0182</c:v>
                </c:pt>
                <c:pt idx="98">
                  <c:v>10.0298</c:v>
                </c:pt>
                <c:pt idx="99">
                  <c:v>10.034800000000001</c:v>
                </c:pt>
                <c:pt idx="100">
                  <c:v>10.040200000000002</c:v>
                </c:pt>
                <c:pt idx="101">
                  <c:v>10.044400000000001</c:v>
                </c:pt>
                <c:pt idx="102">
                  <c:v>10.043800000000001</c:v>
                </c:pt>
                <c:pt idx="103">
                  <c:v>10.047600000000003</c:v>
                </c:pt>
                <c:pt idx="104">
                  <c:v>10.047400000000001</c:v>
                </c:pt>
                <c:pt idx="105">
                  <c:v>10.043600000000003</c:v>
                </c:pt>
                <c:pt idx="106">
                  <c:v>10.042800000000002</c:v>
                </c:pt>
                <c:pt idx="107">
                  <c:v>10.051600000000002</c:v>
                </c:pt>
                <c:pt idx="108">
                  <c:v>10.069200000000002</c:v>
                </c:pt>
                <c:pt idx="109">
                  <c:v>10.081800000000005</c:v>
                </c:pt>
                <c:pt idx="110">
                  <c:v>10.093600000000002</c:v>
                </c:pt>
                <c:pt idx="111">
                  <c:v>10.099200000000003</c:v>
                </c:pt>
                <c:pt idx="112">
                  <c:v>10.120800000000003</c:v>
                </c:pt>
                <c:pt idx="113">
                  <c:v>10.137600000000003</c:v>
                </c:pt>
                <c:pt idx="114">
                  <c:v>10.161400000000004</c:v>
                </c:pt>
                <c:pt idx="115">
                  <c:v>10.199400000000002</c:v>
                </c:pt>
                <c:pt idx="116">
                  <c:v>10.224400000000003</c:v>
                </c:pt>
                <c:pt idx="117">
                  <c:v>10.256200000000003</c:v>
                </c:pt>
                <c:pt idx="118">
                  <c:v>10.279200000000003</c:v>
                </c:pt>
                <c:pt idx="119">
                  <c:v>10.297600000000005</c:v>
                </c:pt>
                <c:pt idx="120">
                  <c:v>10.324600000000002</c:v>
                </c:pt>
                <c:pt idx="121">
                  <c:v>10.353600000000004</c:v>
                </c:pt>
                <c:pt idx="122">
                  <c:v>10.388000000000003</c:v>
                </c:pt>
                <c:pt idx="123">
                  <c:v>10.434000000000003</c:v>
                </c:pt>
                <c:pt idx="124">
                  <c:v>10.477200000000003</c:v>
                </c:pt>
                <c:pt idx="125">
                  <c:v>10.513400000000001</c:v>
                </c:pt>
                <c:pt idx="126">
                  <c:v>10.545800000000002</c:v>
                </c:pt>
                <c:pt idx="127">
                  <c:v>10.581600000000002</c:v>
                </c:pt>
                <c:pt idx="128">
                  <c:v>10.619400000000001</c:v>
                </c:pt>
                <c:pt idx="129">
                  <c:v>10.651999999999997</c:v>
                </c:pt>
                <c:pt idx="130">
                  <c:v>10.689400000000001</c:v>
                </c:pt>
                <c:pt idx="131">
                  <c:v>10.717200000000002</c:v>
                </c:pt>
                <c:pt idx="132">
                  <c:v>10.736400000000001</c:v>
                </c:pt>
                <c:pt idx="133">
                  <c:v>10.756000000000002</c:v>
                </c:pt>
                <c:pt idx="134">
                  <c:v>10.770399999999997</c:v>
                </c:pt>
                <c:pt idx="135">
                  <c:v>10.790999999999999</c:v>
                </c:pt>
                <c:pt idx="136">
                  <c:v>10.809199999999999</c:v>
                </c:pt>
                <c:pt idx="137">
                  <c:v>10.828200000000002</c:v>
                </c:pt>
                <c:pt idx="138">
                  <c:v>10.8424</c:v>
                </c:pt>
                <c:pt idx="139">
                  <c:v>10.8598</c:v>
                </c:pt>
                <c:pt idx="140">
                  <c:v>10.872400000000001</c:v>
                </c:pt>
                <c:pt idx="141">
                  <c:v>10.879000000000001</c:v>
                </c:pt>
                <c:pt idx="142">
                  <c:v>10.880400000000002</c:v>
                </c:pt>
                <c:pt idx="143">
                  <c:v>10.886800000000001</c:v>
                </c:pt>
                <c:pt idx="144">
                  <c:v>10.888800000000002</c:v>
                </c:pt>
                <c:pt idx="145">
                  <c:v>10.898200000000001</c:v>
                </c:pt>
                <c:pt idx="146">
                  <c:v>10.910599999999999</c:v>
                </c:pt>
                <c:pt idx="147">
                  <c:v>10.9276</c:v>
                </c:pt>
                <c:pt idx="148">
                  <c:v>10.946999999999997</c:v>
                </c:pt>
                <c:pt idx="149">
                  <c:v>10.969999999999997</c:v>
                </c:pt>
                <c:pt idx="150">
                  <c:v>10.988399999999999</c:v>
                </c:pt>
                <c:pt idx="151">
                  <c:v>11.005799999999999</c:v>
                </c:pt>
                <c:pt idx="152">
                  <c:v>11.034999999999998</c:v>
                </c:pt>
                <c:pt idx="153">
                  <c:v>11.06</c:v>
                </c:pt>
                <c:pt idx="154">
                  <c:v>11.084000000000001</c:v>
                </c:pt>
                <c:pt idx="155">
                  <c:v>11.111200000000002</c:v>
                </c:pt>
                <c:pt idx="156">
                  <c:v>11.137600000000003</c:v>
                </c:pt>
                <c:pt idx="157">
                  <c:v>11.160600000000002</c:v>
                </c:pt>
                <c:pt idx="158">
                  <c:v>11.1752</c:v>
                </c:pt>
                <c:pt idx="159">
                  <c:v>11.196800000000001</c:v>
                </c:pt>
                <c:pt idx="160">
                  <c:v>11.2226</c:v>
                </c:pt>
                <c:pt idx="161">
                  <c:v>11.2508</c:v>
                </c:pt>
                <c:pt idx="162">
                  <c:v>11.276599999999998</c:v>
                </c:pt>
                <c:pt idx="163">
                  <c:v>11.302399999999999</c:v>
                </c:pt>
                <c:pt idx="164">
                  <c:v>11.329199999999998</c:v>
                </c:pt>
                <c:pt idx="165">
                  <c:v>11.351799999999999</c:v>
                </c:pt>
                <c:pt idx="166">
                  <c:v>11.369199999999996</c:v>
                </c:pt>
                <c:pt idx="167">
                  <c:v>11.388199999999994</c:v>
                </c:pt>
                <c:pt idx="168">
                  <c:v>11.413399999999998</c:v>
                </c:pt>
                <c:pt idx="169">
                  <c:v>11.434599999999998</c:v>
                </c:pt>
                <c:pt idx="170">
                  <c:v>11.448399999999998</c:v>
                </c:pt>
                <c:pt idx="171">
                  <c:v>11.459799999999996</c:v>
                </c:pt>
                <c:pt idx="172">
                  <c:v>11.467999999999996</c:v>
                </c:pt>
                <c:pt idx="173">
                  <c:v>11.466199999999994</c:v>
                </c:pt>
                <c:pt idx="174">
                  <c:v>11.463599999999996</c:v>
                </c:pt>
                <c:pt idx="175">
                  <c:v>11.463999999999997</c:v>
                </c:pt>
                <c:pt idx="176">
                  <c:v>11.463599999999996</c:v>
                </c:pt>
                <c:pt idx="177">
                  <c:v>11.461799999999998</c:v>
                </c:pt>
                <c:pt idx="178">
                  <c:v>11.455999999999996</c:v>
                </c:pt>
                <c:pt idx="179">
                  <c:v>11.4536</c:v>
                </c:pt>
                <c:pt idx="180">
                  <c:v>11.4506</c:v>
                </c:pt>
                <c:pt idx="181">
                  <c:v>11.4518</c:v>
                </c:pt>
                <c:pt idx="182">
                  <c:v>11.4594</c:v>
                </c:pt>
                <c:pt idx="183">
                  <c:v>11.476600000000001</c:v>
                </c:pt>
                <c:pt idx="184">
                  <c:v>11.495200000000002</c:v>
                </c:pt>
                <c:pt idx="185">
                  <c:v>11.508200000000004</c:v>
                </c:pt>
                <c:pt idx="186">
                  <c:v>11.529800000000005</c:v>
                </c:pt>
                <c:pt idx="187">
                  <c:v>11.546600000000005</c:v>
                </c:pt>
                <c:pt idx="188">
                  <c:v>11.574800000000005</c:v>
                </c:pt>
                <c:pt idx="189">
                  <c:v>11.599400000000005</c:v>
                </c:pt>
                <c:pt idx="190">
                  <c:v>11.612200000000003</c:v>
                </c:pt>
                <c:pt idx="191">
                  <c:v>11.625400000000004</c:v>
                </c:pt>
                <c:pt idx="192">
                  <c:v>11.638000000000002</c:v>
                </c:pt>
                <c:pt idx="193">
                  <c:v>11.644800000000002</c:v>
                </c:pt>
                <c:pt idx="194">
                  <c:v>11.6592</c:v>
                </c:pt>
                <c:pt idx="195">
                  <c:v>11.6732</c:v>
                </c:pt>
                <c:pt idx="196">
                  <c:v>11.687200000000001</c:v>
                </c:pt>
                <c:pt idx="197">
                  <c:v>11.697799999999999</c:v>
                </c:pt>
                <c:pt idx="198">
                  <c:v>11.710599999999999</c:v>
                </c:pt>
                <c:pt idx="199">
                  <c:v>11.724</c:v>
                </c:pt>
                <c:pt idx="200">
                  <c:v>11.7524</c:v>
                </c:pt>
                <c:pt idx="201">
                  <c:v>11.776</c:v>
                </c:pt>
                <c:pt idx="202">
                  <c:v>11.794</c:v>
                </c:pt>
                <c:pt idx="203">
                  <c:v>11.842000000000001</c:v>
                </c:pt>
                <c:pt idx="204">
                  <c:v>11.878400000000001</c:v>
                </c:pt>
                <c:pt idx="205">
                  <c:v>11.911799999999998</c:v>
                </c:pt>
                <c:pt idx="206">
                  <c:v>11.945</c:v>
                </c:pt>
                <c:pt idx="207">
                  <c:v>11.976400000000002</c:v>
                </c:pt>
                <c:pt idx="208">
                  <c:v>12.0124</c:v>
                </c:pt>
                <c:pt idx="209">
                  <c:v>12.037799999999999</c:v>
                </c:pt>
                <c:pt idx="210">
                  <c:v>12.057199999999998</c:v>
                </c:pt>
                <c:pt idx="211">
                  <c:v>12.082599999999999</c:v>
                </c:pt>
                <c:pt idx="212">
                  <c:v>12.106799999999998</c:v>
                </c:pt>
                <c:pt idx="213">
                  <c:v>12.136799999999999</c:v>
                </c:pt>
                <c:pt idx="214">
                  <c:v>12.1646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1-4AE0-8BE0-63EA96ED6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659856"/>
        <c:axId val="1377114976"/>
      </c:lineChart>
      <c:dateAx>
        <c:axId val="1176659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14976"/>
        <c:crosses val="autoZero"/>
        <c:auto val="1"/>
        <c:lblOffset val="100"/>
        <c:baseTimeUnit val="days"/>
      </c:dateAx>
      <c:valAx>
        <c:axId val="1377114976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AMD</a:t>
            </a:r>
            <a:r>
              <a:rPr lang="en-US" baseline="0"/>
              <a:t> + 20D 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Stocks'!$B$1:$B$2</c:f>
              <c:strCache>
                <c:ptCount val="2"/>
                <c:pt idx="0">
                  <c:v>Stock History Data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Stocks'!$B$3:$B$219</c:f>
              <c:numCache>
                <c:formatCode>_([$$-409]* #,##0.00_);_([$$-409]* \(#,##0.00\);_([$$-409]* "-"??_);_(@_)</c:formatCode>
                <c:ptCount val="217"/>
                <c:pt idx="0">
                  <c:v>9.4972999999999992</c:v>
                </c:pt>
                <c:pt idx="1">
                  <c:v>9.7236999999999991</c:v>
                </c:pt>
                <c:pt idx="2">
                  <c:v>9.7630999999999997</c:v>
                </c:pt>
                <c:pt idx="3">
                  <c:v>9.6056000000000008</c:v>
                </c:pt>
                <c:pt idx="4">
                  <c:v>9.5859000000000005</c:v>
                </c:pt>
                <c:pt idx="5">
                  <c:v>9.4972999999999992</c:v>
                </c:pt>
                <c:pt idx="6">
                  <c:v>9.5564</c:v>
                </c:pt>
                <c:pt idx="7">
                  <c:v>9.6252999999999993</c:v>
                </c:pt>
                <c:pt idx="8">
                  <c:v>9.7926000000000002</c:v>
                </c:pt>
                <c:pt idx="9">
                  <c:v>9.8515999999999995</c:v>
                </c:pt>
                <c:pt idx="10">
                  <c:v>10.019</c:v>
                </c:pt>
                <c:pt idx="11">
                  <c:v>10.265000000000001</c:v>
                </c:pt>
                <c:pt idx="12">
                  <c:v>9.8712999999999997</c:v>
                </c:pt>
                <c:pt idx="13">
                  <c:v>9.9992999999999999</c:v>
                </c:pt>
                <c:pt idx="14">
                  <c:v>9.9598999999999993</c:v>
                </c:pt>
                <c:pt idx="15">
                  <c:v>10.2158</c:v>
                </c:pt>
                <c:pt idx="16">
                  <c:v>9.9205000000000005</c:v>
                </c:pt>
                <c:pt idx="17">
                  <c:v>10.048500000000001</c:v>
                </c:pt>
                <c:pt idx="18">
                  <c:v>9.9992999999999999</c:v>
                </c:pt>
                <c:pt idx="19">
                  <c:v>9.9205000000000005</c:v>
                </c:pt>
                <c:pt idx="20">
                  <c:v>9.7334999999999994</c:v>
                </c:pt>
                <c:pt idx="21">
                  <c:v>9.9992999999999999</c:v>
                </c:pt>
                <c:pt idx="22">
                  <c:v>9.8515999999999995</c:v>
                </c:pt>
                <c:pt idx="23">
                  <c:v>9.1135000000000002</c:v>
                </c:pt>
                <c:pt idx="24">
                  <c:v>9.0937999999999999</c:v>
                </c:pt>
                <c:pt idx="25">
                  <c:v>9.0937999999999999</c:v>
                </c:pt>
                <c:pt idx="26">
                  <c:v>9.0642999999999994</c:v>
                </c:pt>
                <c:pt idx="27">
                  <c:v>9.0839999999999996</c:v>
                </c:pt>
                <c:pt idx="28">
                  <c:v>9.2020999999999997</c:v>
                </c:pt>
                <c:pt idx="29">
                  <c:v>9.33</c:v>
                </c:pt>
                <c:pt idx="30">
                  <c:v>9.2899999999999991</c:v>
                </c:pt>
                <c:pt idx="31">
                  <c:v>9.34</c:v>
                </c:pt>
                <c:pt idx="32">
                  <c:v>9.39</c:v>
                </c:pt>
                <c:pt idx="33">
                  <c:v>9.2799999999999994</c:v>
                </c:pt>
                <c:pt idx="34">
                  <c:v>9.35</c:v>
                </c:pt>
                <c:pt idx="35">
                  <c:v>9.42</c:v>
                </c:pt>
                <c:pt idx="36">
                  <c:v>9.4700000000000006</c:v>
                </c:pt>
                <c:pt idx="37">
                  <c:v>9.2899999999999991</c:v>
                </c:pt>
                <c:pt idx="38">
                  <c:v>9.5500000000000007</c:v>
                </c:pt>
                <c:pt idx="39">
                  <c:v>9.39</c:v>
                </c:pt>
                <c:pt idx="40">
                  <c:v>9.1199999999999992</c:v>
                </c:pt>
                <c:pt idx="41">
                  <c:v>9.65</c:v>
                </c:pt>
                <c:pt idx="42">
                  <c:v>9.61</c:v>
                </c:pt>
                <c:pt idx="43">
                  <c:v>9.9</c:v>
                </c:pt>
                <c:pt idx="44">
                  <c:v>9.9600000000000009</c:v>
                </c:pt>
                <c:pt idx="45">
                  <c:v>9.69</c:v>
                </c:pt>
                <c:pt idx="46">
                  <c:v>9.59</c:v>
                </c:pt>
                <c:pt idx="47">
                  <c:v>9.5299999999999994</c:v>
                </c:pt>
                <c:pt idx="48">
                  <c:v>9.73</c:v>
                </c:pt>
                <c:pt idx="49">
                  <c:v>9.92</c:v>
                </c:pt>
                <c:pt idx="50">
                  <c:v>9.9499999999999993</c:v>
                </c:pt>
                <c:pt idx="51">
                  <c:v>10.17</c:v>
                </c:pt>
                <c:pt idx="52">
                  <c:v>10.01</c:v>
                </c:pt>
                <c:pt idx="53">
                  <c:v>10</c:v>
                </c:pt>
                <c:pt idx="54">
                  <c:v>10.25</c:v>
                </c:pt>
                <c:pt idx="55">
                  <c:v>10.29</c:v>
                </c:pt>
                <c:pt idx="56">
                  <c:v>10.3</c:v>
                </c:pt>
                <c:pt idx="57">
                  <c:v>9.9</c:v>
                </c:pt>
                <c:pt idx="58">
                  <c:v>9.7200000000000006</c:v>
                </c:pt>
                <c:pt idx="59">
                  <c:v>10.029999999999999</c:v>
                </c:pt>
                <c:pt idx="60">
                  <c:v>9.94</c:v>
                </c:pt>
                <c:pt idx="61">
                  <c:v>10.15</c:v>
                </c:pt>
                <c:pt idx="62">
                  <c:v>9.5399999999999991</c:v>
                </c:pt>
                <c:pt idx="63">
                  <c:v>9.58</c:v>
                </c:pt>
                <c:pt idx="64">
                  <c:v>9.24</c:v>
                </c:pt>
                <c:pt idx="65">
                  <c:v>8.69</c:v>
                </c:pt>
                <c:pt idx="66">
                  <c:v>9.5</c:v>
                </c:pt>
                <c:pt idx="67">
                  <c:v>9.14</c:v>
                </c:pt>
                <c:pt idx="68">
                  <c:v>9.33</c:v>
                </c:pt>
                <c:pt idx="69">
                  <c:v>9.7100000000000009</c:v>
                </c:pt>
                <c:pt idx="70">
                  <c:v>9.4499999999999993</c:v>
                </c:pt>
                <c:pt idx="71">
                  <c:v>9.4</c:v>
                </c:pt>
                <c:pt idx="72">
                  <c:v>9.6300000000000008</c:v>
                </c:pt>
                <c:pt idx="73">
                  <c:v>9.4700000000000006</c:v>
                </c:pt>
                <c:pt idx="74">
                  <c:v>9.65</c:v>
                </c:pt>
                <c:pt idx="75">
                  <c:v>9.7799999999999994</c:v>
                </c:pt>
                <c:pt idx="76">
                  <c:v>10.06</c:v>
                </c:pt>
                <c:pt idx="77">
                  <c:v>10.039999999999999</c:v>
                </c:pt>
                <c:pt idx="78">
                  <c:v>10.02</c:v>
                </c:pt>
                <c:pt idx="79">
                  <c:v>10.15</c:v>
                </c:pt>
                <c:pt idx="80">
                  <c:v>10.01</c:v>
                </c:pt>
                <c:pt idx="81">
                  <c:v>10.18</c:v>
                </c:pt>
                <c:pt idx="82">
                  <c:v>10.28</c:v>
                </c:pt>
                <c:pt idx="83">
                  <c:v>10.17</c:v>
                </c:pt>
                <c:pt idx="84">
                  <c:v>10.44</c:v>
                </c:pt>
                <c:pt idx="85">
                  <c:v>10.28</c:v>
                </c:pt>
                <c:pt idx="86">
                  <c:v>10.28</c:v>
                </c:pt>
                <c:pt idx="87">
                  <c:v>10.43</c:v>
                </c:pt>
                <c:pt idx="88">
                  <c:v>10.55</c:v>
                </c:pt>
                <c:pt idx="89">
                  <c:v>10.6</c:v>
                </c:pt>
                <c:pt idx="90">
                  <c:v>10.65</c:v>
                </c:pt>
                <c:pt idx="91">
                  <c:v>10.75</c:v>
                </c:pt>
                <c:pt idx="92">
                  <c:v>10.8</c:v>
                </c:pt>
                <c:pt idx="93">
                  <c:v>10.75</c:v>
                </c:pt>
                <c:pt idx="94">
                  <c:v>10.72</c:v>
                </c:pt>
                <c:pt idx="95">
                  <c:v>10.48</c:v>
                </c:pt>
                <c:pt idx="96">
                  <c:v>10.44</c:v>
                </c:pt>
                <c:pt idx="97">
                  <c:v>10.36</c:v>
                </c:pt>
                <c:pt idx="98">
                  <c:v>10.31</c:v>
                </c:pt>
                <c:pt idx="99">
                  <c:v>10.17</c:v>
                </c:pt>
                <c:pt idx="100">
                  <c:v>10.220000000000001</c:v>
                </c:pt>
                <c:pt idx="101">
                  <c:v>10.38</c:v>
                </c:pt>
                <c:pt idx="102">
                  <c:v>9.98</c:v>
                </c:pt>
                <c:pt idx="103">
                  <c:v>10.19</c:v>
                </c:pt>
                <c:pt idx="104">
                  <c:v>10.24</c:v>
                </c:pt>
                <c:pt idx="105">
                  <c:v>10.1</c:v>
                </c:pt>
                <c:pt idx="106">
                  <c:v>10.26</c:v>
                </c:pt>
                <c:pt idx="107">
                  <c:v>10.34</c:v>
                </c:pt>
                <c:pt idx="108">
                  <c:v>10.6</c:v>
                </c:pt>
                <c:pt idx="109">
                  <c:v>10.66</c:v>
                </c:pt>
                <c:pt idx="110">
                  <c:v>10.53</c:v>
                </c:pt>
                <c:pt idx="111">
                  <c:v>10.43</c:v>
                </c:pt>
                <c:pt idx="112">
                  <c:v>10.62</c:v>
                </c:pt>
                <c:pt idx="113">
                  <c:v>10.42</c:v>
                </c:pt>
                <c:pt idx="114">
                  <c:v>10.43</c:v>
                </c:pt>
                <c:pt idx="115">
                  <c:v>10.59</c:v>
                </c:pt>
                <c:pt idx="116">
                  <c:v>10.75</c:v>
                </c:pt>
                <c:pt idx="117">
                  <c:v>10.73</c:v>
                </c:pt>
                <c:pt idx="118">
                  <c:v>10.48</c:v>
                </c:pt>
                <c:pt idx="119">
                  <c:v>10.63</c:v>
                </c:pt>
                <c:pt idx="120">
                  <c:v>10.8</c:v>
                </c:pt>
                <c:pt idx="121">
                  <c:v>10.85</c:v>
                </c:pt>
                <c:pt idx="122">
                  <c:v>11.35</c:v>
                </c:pt>
                <c:pt idx="123">
                  <c:v>11.77</c:v>
                </c:pt>
                <c:pt idx="124">
                  <c:v>11.81</c:v>
                </c:pt>
                <c:pt idx="125">
                  <c:v>11.59</c:v>
                </c:pt>
                <c:pt idx="126">
                  <c:v>11.68</c:v>
                </c:pt>
                <c:pt idx="127">
                  <c:v>11.83</c:v>
                </c:pt>
                <c:pt idx="128">
                  <c:v>11.91</c:v>
                </c:pt>
                <c:pt idx="129">
                  <c:v>11.78</c:v>
                </c:pt>
                <c:pt idx="130">
                  <c:v>11.88</c:v>
                </c:pt>
                <c:pt idx="131">
                  <c:v>11.57</c:v>
                </c:pt>
                <c:pt idx="132">
                  <c:v>11.24</c:v>
                </c:pt>
                <c:pt idx="133">
                  <c:v>11.15</c:v>
                </c:pt>
                <c:pt idx="134">
                  <c:v>11.16</c:v>
                </c:pt>
                <c:pt idx="135">
                  <c:v>11.31</c:v>
                </c:pt>
                <c:pt idx="136">
                  <c:v>11.19</c:v>
                </c:pt>
                <c:pt idx="137">
                  <c:v>11.38</c:v>
                </c:pt>
                <c:pt idx="138">
                  <c:v>11.26</c:v>
                </c:pt>
                <c:pt idx="139">
                  <c:v>11.47</c:v>
                </c:pt>
                <c:pt idx="140">
                  <c:v>11.28</c:v>
                </c:pt>
                <c:pt idx="141">
                  <c:v>11.08</c:v>
                </c:pt>
                <c:pt idx="142">
                  <c:v>10.87</c:v>
                </c:pt>
                <c:pt idx="143">
                  <c:v>11.07</c:v>
                </c:pt>
                <c:pt idx="144">
                  <c:v>10.82</c:v>
                </c:pt>
                <c:pt idx="145">
                  <c:v>10.95</c:v>
                </c:pt>
                <c:pt idx="146">
                  <c:v>11.06</c:v>
                </c:pt>
                <c:pt idx="147">
                  <c:v>11.21</c:v>
                </c:pt>
                <c:pt idx="148">
                  <c:v>11.28</c:v>
                </c:pt>
                <c:pt idx="149">
                  <c:v>11.32</c:v>
                </c:pt>
                <c:pt idx="150">
                  <c:v>11.14</c:v>
                </c:pt>
                <c:pt idx="151">
                  <c:v>11.25</c:v>
                </c:pt>
                <c:pt idx="152">
                  <c:v>11.44</c:v>
                </c:pt>
                <c:pt idx="153">
                  <c:v>11.44</c:v>
                </c:pt>
                <c:pt idx="154">
                  <c:v>11.44</c:v>
                </c:pt>
                <c:pt idx="155">
                  <c:v>11.46</c:v>
                </c:pt>
                <c:pt idx="156">
                  <c:v>11.58</c:v>
                </c:pt>
                <c:pt idx="157">
                  <c:v>11.49</c:v>
                </c:pt>
                <c:pt idx="158">
                  <c:v>11.33</c:v>
                </c:pt>
                <c:pt idx="159">
                  <c:v>11.74</c:v>
                </c:pt>
                <c:pt idx="160">
                  <c:v>11.82</c:v>
                </c:pt>
                <c:pt idx="161">
                  <c:v>11.84</c:v>
                </c:pt>
                <c:pt idx="162">
                  <c:v>11.91</c:v>
                </c:pt>
                <c:pt idx="163">
                  <c:v>11.71</c:v>
                </c:pt>
                <c:pt idx="164">
                  <c:v>11.77</c:v>
                </c:pt>
                <c:pt idx="165">
                  <c:v>11.72</c:v>
                </c:pt>
                <c:pt idx="166">
                  <c:v>11.62</c:v>
                </c:pt>
                <c:pt idx="167">
                  <c:v>11.68</c:v>
                </c:pt>
                <c:pt idx="168">
                  <c:v>11.74</c:v>
                </c:pt>
                <c:pt idx="169">
                  <c:v>11.69</c:v>
                </c:pt>
                <c:pt idx="170">
                  <c:v>11.49</c:v>
                </c:pt>
                <c:pt idx="171">
                  <c:v>11.42</c:v>
                </c:pt>
                <c:pt idx="172">
                  <c:v>11.76</c:v>
                </c:pt>
                <c:pt idx="173">
                  <c:v>11.68</c:v>
                </c:pt>
                <c:pt idx="174">
                  <c:v>11.68</c:v>
                </c:pt>
                <c:pt idx="175">
                  <c:v>11.61</c:v>
                </c:pt>
                <c:pt idx="176">
                  <c:v>11.66</c:v>
                </c:pt>
                <c:pt idx="177">
                  <c:v>11.74</c:v>
                </c:pt>
                <c:pt idx="178">
                  <c:v>11.62</c:v>
                </c:pt>
                <c:pt idx="179">
                  <c:v>11.66</c:v>
                </c:pt>
                <c:pt idx="180">
                  <c:v>11.73</c:v>
                </c:pt>
                <c:pt idx="181">
                  <c:v>11.63</c:v>
                </c:pt>
                <c:pt idx="182">
                  <c:v>11.62</c:v>
                </c:pt>
                <c:pt idx="183">
                  <c:v>12.01</c:v>
                </c:pt>
                <c:pt idx="184">
                  <c:v>12.09</c:v>
                </c:pt>
                <c:pt idx="185">
                  <c:v>11.96</c:v>
                </c:pt>
                <c:pt idx="186">
                  <c:v>12.27</c:v>
                </c:pt>
                <c:pt idx="187">
                  <c:v>12.22</c:v>
                </c:pt>
                <c:pt idx="188">
                  <c:v>12.67</c:v>
                </c:pt>
                <c:pt idx="189">
                  <c:v>12.7</c:v>
                </c:pt>
                <c:pt idx="190">
                  <c:v>11.92</c:v>
                </c:pt>
                <c:pt idx="191">
                  <c:v>11.74</c:v>
                </c:pt>
                <c:pt idx="192">
                  <c:v>11.5</c:v>
                </c:pt>
                <c:pt idx="193">
                  <c:v>11.41</c:v>
                </c:pt>
                <c:pt idx="194">
                  <c:v>11.54</c:v>
                </c:pt>
                <c:pt idx="195">
                  <c:v>11.65</c:v>
                </c:pt>
                <c:pt idx="196">
                  <c:v>11.76</c:v>
                </c:pt>
                <c:pt idx="197">
                  <c:v>11.74</c:v>
                </c:pt>
                <c:pt idx="198">
                  <c:v>11.92</c:v>
                </c:pt>
                <c:pt idx="199">
                  <c:v>11.99</c:v>
                </c:pt>
                <c:pt idx="200">
                  <c:v>12.56</c:v>
                </c:pt>
                <c:pt idx="201">
                  <c:v>12.43</c:v>
                </c:pt>
                <c:pt idx="202">
                  <c:v>12.34</c:v>
                </c:pt>
                <c:pt idx="203">
                  <c:v>13.84</c:v>
                </c:pt>
                <c:pt idx="204">
                  <c:v>13.26</c:v>
                </c:pt>
                <c:pt idx="205">
                  <c:v>13.13</c:v>
                </c:pt>
                <c:pt idx="206">
                  <c:v>13.24</c:v>
                </c:pt>
                <c:pt idx="207">
                  <c:v>13.06</c:v>
                </c:pt>
                <c:pt idx="208">
                  <c:v>13.13</c:v>
                </c:pt>
                <c:pt idx="209">
                  <c:v>13.01</c:v>
                </c:pt>
                <c:pt idx="210">
                  <c:v>12.79</c:v>
                </c:pt>
                <c:pt idx="211">
                  <c:v>13.11</c:v>
                </c:pt>
                <c:pt idx="212">
                  <c:v>13.12</c:v>
                </c:pt>
                <c:pt idx="213">
                  <c:v>13.21</c:v>
                </c:pt>
                <c:pt idx="214">
                  <c:v>13.16</c:v>
                </c:pt>
                <c:pt idx="215">
                  <c:v>13.3</c:v>
                </c:pt>
                <c:pt idx="216">
                  <c:v>13.45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3-4120-8BD8-965C81BDB2BE}"/>
            </c:ext>
          </c:extLst>
        </c:ser>
        <c:ser>
          <c:idx val="1"/>
          <c:order val="1"/>
          <c:tx>
            <c:strRef>
              <c:f>'US Stocks'!$H$1:$H$2</c:f>
              <c:strCache>
                <c:ptCount val="2"/>
                <c:pt idx="0">
                  <c:v> Calculated Columns </c:v>
                </c:pt>
                <c:pt idx="1">
                  <c:v> 20 Day 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Stocks'!$H$3:$H$219</c:f>
              <c:numCache>
                <c:formatCode>_(* #,##0.00_);_(* \(#,##0.00\);_(* "-"??_);_(@_)</c:formatCode>
                <c:ptCount val="217"/>
                <c:pt idx="19">
                  <c:v>9.8358950000000007</c:v>
                </c:pt>
                <c:pt idx="20">
                  <c:v>9.8477050000000013</c:v>
                </c:pt>
                <c:pt idx="21">
                  <c:v>9.8614850000000001</c:v>
                </c:pt>
                <c:pt idx="22">
                  <c:v>9.8659099999999995</c:v>
                </c:pt>
                <c:pt idx="23">
                  <c:v>9.8413050000000002</c:v>
                </c:pt>
                <c:pt idx="24">
                  <c:v>9.8166999999999991</c:v>
                </c:pt>
                <c:pt idx="25">
                  <c:v>9.796524999999999</c:v>
                </c:pt>
                <c:pt idx="26">
                  <c:v>9.7719199999999979</c:v>
                </c:pt>
                <c:pt idx="27">
                  <c:v>9.7448549999999976</c:v>
                </c:pt>
                <c:pt idx="28">
                  <c:v>9.715329999999998</c:v>
                </c:pt>
                <c:pt idx="29">
                  <c:v>9.6892499999999995</c:v>
                </c:pt>
                <c:pt idx="30">
                  <c:v>9.6528000000000009</c:v>
                </c:pt>
                <c:pt idx="31">
                  <c:v>9.6065500000000021</c:v>
                </c:pt>
                <c:pt idx="32">
                  <c:v>9.5824850000000019</c:v>
                </c:pt>
                <c:pt idx="33">
                  <c:v>9.5465200000000028</c:v>
                </c:pt>
                <c:pt idx="34">
                  <c:v>9.5160250000000026</c:v>
                </c:pt>
                <c:pt idx="35">
                  <c:v>9.4762350000000009</c:v>
                </c:pt>
                <c:pt idx="36">
                  <c:v>9.4537100000000009</c:v>
                </c:pt>
                <c:pt idx="37">
                  <c:v>9.4157849999999979</c:v>
                </c:pt>
                <c:pt idx="38">
                  <c:v>9.3933199999999992</c:v>
                </c:pt>
                <c:pt idx="39">
                  <c:v>9.3667949999999998</c:v>
                </c:pt>
                <c:pt idx="40">
                  <c:v>9.3361199999999993</c:v>
                </c:pt>
                <c:pt idx="41">
                  <c:v>9.3186549999999997</c:v>
                </c:pt>
                <c:pt idx="42">
                  <c:v>9.3065750000000005</c:v>
                </c:pt>
                <c:pt idx="43">
                  <c:v>9.3458999999999985</c:v>
                </c:pt>
                <c:pt idx="44">
                  <c:v>9.3892100000000003</c:v>
                </c:pt>
                <c:pt idx="45">
                  <c:v>9.4190199999999997</c:v>
                </c:pt>
                <c:pt idx="46">
                  <c:v>9.4453050000000012</c:v>
                </c:pt>
                <c:pt idx="47">
                  <c:v>9.4676050000000007</c:v>
                </c:pt>
                <c:pt idx="48">
                  <c:v>9.4940000000000015</c:v>
                </c:pt>
                <c:pt idx="49">
                  <c:v>9.5235000000000003</c:v>
                </c:pt>
                <c:pt idx="50">
                  <c:v>9.556499999999998</c:v>
                </c:pt>
                <c:pt idx="51">
                  <c:v>9.597999999999999</c:v>
                </c:pt>
                <c:pt idx="52">
                  <c:v>9.6289999999999978</c:v>
                </c:pt>
                <c:pt idx="53">
                  <c:v>9.6649999999999974</c:v>
                </c:pt>
                <c:pt idx="54">
                  <c:v>9.7099999999999973</c:v>
                </c:pt>
                <c:pt idx="55">
                  <c:v>9.7534999999999989</c:v>
                </c:pt>
                <c:pt idx="56">
                  <c:v>9.7949999999999982</c:v>
                </c:pt>
                <c:pt idx="57">
                  <c:v>9.8255000000000017</c:v>
                </c:pt>
                <c:pt idx="58">
                  <c:v>9.8339999999999996</c:v>
                </c:pt>
                <c:pt idx="59">
                  <c:v>9.8660000000000014</c:v>
                </c:pt>
                <c:pt idx="60">
                  <c:v>9.907</c:v>
                </c:pt>
                <c:pt idx="61">
                  <c:v>9.9320000000000004</c:v>
                </c:pt>
                <c:pt idx="62">
                  <c:v>9.9285000000000014</c:v>
                </c:pt>
                <c:pt idx="63">
                  <c:v>9.9125000000000014</c:v>
                </c:pt>
                <c:pt idx="64">
                  <c:v>9.8765000000000018</c:v>
                </c:pt>
                <c:pt idx="65">
                  <c:v>9.8265000000000011</c:v>
                </c:pt>
                <c:pt idx="66">
                  <c:v>9.8219999999999992</c:v>
                </c:pt>
                <c:pt idx="67">
                  <c:v>9.8025000000000002</c:v>
                </c:pt>
                <c:pt idx="68">
                  <c:v>9.7825000000000006</c:v>
                </c:pt>
                <c:pt idx="69">
                  <c:v>9.772000000000002</c:v>
                </c:pt>
                <c:pt idx="70">
                  <c:v>9.7470000000000034</c:v>
                </c:pt>
                <c:pt idx="71">
                  <c:v>9.708499999999999</c:v>
                </c:pt>
                <c:pt idx="72">
                  <c:v>9.6894999999999989</c:v>
                </c:pt>
                <c:pt idx="73">
                  <c:v>9.6630000000000003</c:v>
                </c:pt>
                <c:pt idx="74">
                  <c:v>9.6329999999999991</c:v>
                </c:pt>
                <c:pt idx="75">
                  <c:v>9.6074999999999982</c:v>
                </c:pt>
                <c:pt idx="76">
                  <c:v>9.5954999999999995</c:v>
                </c:pt>
                <c:pt idx="77">
                  <c:v>9.6024999999999991</c:v>
                </c:pt>
                <c:pt idx="78">
                  <c:v>9.6175000000000015</c:v>
                </c:pt>
                <c:pt idx="79">
                  <c:v>9.6235000000000017</c:v>
                </c:pt>
                <c:pt idx="80">
                  <c:v>9.6269999999999989</c:v>
                </c:pt>
                <c:pt idx="81">
                  <c:v>9.6284999999999989</c:v>
                </c:pt>
                <c:pt idx="82">
                  <c:v>9.6654999999999998</c:v>
                </c:pt>
                <c:pt idx="83">
                  <c:v>9.6950000000000003</c:v>
                </c:pt>
                <c:pt idx="84">
                  <c:v>9.754999999999999</c:v>
                </c:pt>
                <c:pt idx="85">
                  <c:v>9.8344999999999985</c:v>
                </c:pt>
                <c:pt idx="86">
                  <c:v>9.8734999999999999</c:v>
                </c:pt>
                <c:pt idx="87">
                  <c:v>9.9380000000000006</c:v>
                </c:pt>
                <c:pt idx="88">
                  <c:v>9.9990000000000006</c:v>
                </c:pt>
                <c:pt idx="89">
                  <c:v>10.0435</c:v>
                </c:pt>
                <c:pt idx="90">
                  <c:v>10.1035</c:v>
                </c:pt>
                <c:pt idx="91">
                  <c:v>10.171000000000003</c:v>
                </c:pt>
                <c:pt idx="92">
                  <c:v>10.229500000000002</c:v>
                </c:pt>
                <c:pt idx="93">
                  <c:v>10.2935</c:v>
                </c:pt>
                <c:pt idx="94">
                  <c:v>10.347000000000001</c:v>
                </c:pt>
                <c:pt idx="95">
                  <c:v>10.382000000000001</c:v>
                </c:pt>
                <c:pt idx="96">
                  <c:v>10.401</c:v>
                </c:pt>
                <c:pt idx="97">
                  <c:v>10.416999999999998</c:v>
                </c:pt>
                <c:pt idx="98">
                  <c:v>10.4315</c:v>
                </c:pt>
                <c:pt idx="99">
                  <c:v>10.432499999999997</c:v>
                </c:pt>
                <c:pt idx="100">
                  <c:v>10.442999999999998</c:v>
                </c:pt>
                <c:pt idx="101">
                  <c:v>10.452999999999999</c:v>
                </c:pt>
                <c:pt idx="102">
                  <c:v>10.437999999999999</c:v>
                </c:pt>
                <c:pt idx="103">
                  <c:v>10.439</c:v>
                </c:pt>
                <c:pt idx="104">
                  <c:v>10.428999999999998</c:v>
                </c:pt>
                <c:pt idx="105">
                  <c:v>10.419999999999998</c:v>
                </c:pt>
                <c:pt idx="106">
                  <c:v>10.418999999999999</c:v>
                </c:pt>
                <c:pt idx="107">
                  <c:v>10.4145</c:v>
                </c:pt>
                <c:pt idx="108">
                  <c:v>10.416999999999998</c:v>
                </c:pt>
                <c:pt idx="109">
                  <c:v>10.419999999999998</c:v>
                </c:pt>
                <c:pt idx="110">
                  <c:v>10.414</c:v>
                </c:pt>
                <c:pt idx="111">
                  <c:v>10.398</c:v>
                </c:pt>
                <c:pt idx="112">
                  <c:v>10.388999999999999</c:v>
                </c:pt>
                <c:pt idx="113">
                  <c:v>10.372499999999999</c:v>
                </c:pt>
                <c:pt idx="114">
                  <c:v>10.358000000000001</c:v>
                </c:pt>
                <c:pt idx="115">
                  <c:v>10.3635</c:v>
                </c:pt>
                <c:pt idx="116">
                  <c:v>10.379000000000001</c:v>
                </c:pt>
                <c:pt idx="117">
                  <c:v>10.397499999999999</c:v>
                </c:pt>
                <c:pt idx="118">
                  <c:v>10.405999999999999</c:v>
                </c:pt>
                <c:pt idx="119">
                  <c:v>10.428999999999998</c:v>
                </c:pt>
                <c:pt idx="120">
                  <c:v>10.457999999999998</c:v>
                </c:pt>
                <c:pt idx="121">
                  <c:v>10.481499999999999</c:v>
                </c:pt>
                <c:pt idx="122">
                  <c:v>10.549999999999999</c:v>
                </c:pt>
                <c:pt idx="123">
                  <c:v>10.629</c:v>
                </c:pt>
                <c:pt idx="124">
                  <c:v>10.7075</c:v>
                </c:pt>
                <c:pt idx="125">
                  <c:v>10.782</c:v>
                </c:pt>
                <c:pt idx="126">
                  <c:v>10.853000000000002</c:v>
                </c:pt>
                <c:pt idx="127">
                  <c:v>10.927500000000002</c:v>
                </c:pt>
                <c:pt idx="128">
                  <c:v>10.993</c:v>
                </c:pt>
                <c:pt idx="129">
                  <c:v>11.049000000000001</c:v>
                </c:pt>
                <c:pt idx="130">
                  <c:v>11.1165</c:v>
                </c:pt>
                <c:pt idx="131">
                  <c:v>11.173500000000001</c:v>
                </c:pt>
                <c:pt idx="132">
                  <c:v>11.204499999999999</c:v>
                </c:pt>
                <c:pt idx="133">
                  <c:v>11.241000000000001</c:v>
                </c:pt>
                <c:pt idx="134">
                  <c:v>11.2775</c:v>
                </c:pt>
                <c:pt idx="135">
                  <c:v>11.313500000000001</c:v>
                </c:pt>
                <c:pt idx="136">
                  <c:v>11.3355</c:v>
                </c:pt>
                <c:pt idx="137">
                  <c:v>11.367999999999999</c:v>
                </c:pt>
                <c:pt idx="138">
                  <c:v>11.407</c:v>
                </c:pt>
                <c:pt idx="139">
                  <c:v>11.449</c:v>
                </c:pt>
                <c:pt idx="140">
                  <c:v>11.473000000000001</c:v>
                </c:pt>
                <c:pt idx="141">
                  <c:v>11.484500000000001</c:v>
                </c:pt>
                <c:pt idx="142">
                  <c:v>11.4605</c:v>
                </c:pt>
                <c:pt idx="143">
                  <c:v>11.425499999999998</c:v>
                </c:pt>
                <c:pt idx="144">
                  <c:v>11.376000000000001</c:v>
                </c:pt>
                <c:pt idx="145">
                  <c:v>11.343999999999999</c:v>
                </c:pt>
                <c:pt idx="146">
                  <c:v>11.312999999999999</c:v>
                </c:pt>
                <c:pt idx="147">
                  <c:v>11.282</c:v>
                </c:pt>
                <c:pt idx="148">
                  <c:v>11.250499999999999</c:v>
                </c:pt>
                <c:pt idx="149">
                  <c:v>11.227499999999999</c:v>
                </c:pt>
                <c:pt idx="150">
                  <c:v>11.1905</c:v>
                </c:pt>
                <c:pt idx="151">
                  <c:v>11.1745</c:v>
                </c:pt>
                <c:pt idx="152">
                  <c:v>11.1845</c:v>
                </c:pt>
                <c:pt idx="153">
                  <c:v>11.198999999999998</c:v>
                </c:pt>
                <c:pt idx="154">
                  <c:v>11.212999999999999</c:v>
                </c:pt>
                <c:pt idx="155">
                  <c:v>11.220499999999999</c:v>
                </c:pt>
                <c:pt idx="156">
                  <c:v>11.24</c:v>
                </c:pt>
                <c:pt idx="157">
                  <c:v>11.245500000000002</c:v>
                </c:pt>
                <c:pt idx="158">
                  <c:v>11.249000000000002</c:v>
                </c:pt>
                <c:pt idx="159">
                  <c:v>11.262500000000001</c:v>
                </c:pt>
                <c:pt idx="160">
                  <c:v>11.289500000000002</c:v>
                </c:pt>
                <c:pt idx="161">
                  <c:v>11.327500000000002</c:v>
                </c:pt>
                <c:pt idx="162">
                  <c:v>11.379500000000004</c:v>
                </c:pt>
                <c:pt idx="163">
                  <c:v>11.411500000000002</c:v>
                </c:pt>
                <c:pt idx="164">
                  <c:v>11.459000000000003</c:v>
                </c:pt>
                <c:pt idx="165">
                  <c:v>11.4975</c:v>
                </c:pt>
                <c:pt idx="166">
                  <c:v>11.525500000000001</c:v>
                </c:pt>
                <c:pt idx="167">
                  <c:v>11.549000000000001</c:v>
                </c:pt>
                <c:pt idx="168">
                  <c:v>11.572000000000001</c:v>
                </c:pt>
                <c:pt idx="169">
                  <c:v>11.5905</c:v>
                </c:pt>
                <c:pt idx="170">
                  <c:v>11.608000000000001</c:v>
                </c:pt>
                <c:pt idx="171">
                  <c:v>11.6165</c:v>
                </c:pt>
                <c:pt idx="172">
                  <c:v>11.632500000000002</c:v>
                </c:pt>
                <c:pt idx="173">
                  <c:v>11.644500000000001</c:v>
                </c:pt>
                <c:pt idx="174">
                  <c:v>11.656500000000001</c:v>
                </c:pt>
                <c:pt idx="175">
                  <c:v>11.663999999999998</c:v>
                </c:pt>
                <c:pt idx="176">
                  <c:v>11.667999999999999</c:v>
                </c:pt>
                <c:pt idx="177">
                  <c:v>11.680499999999999</c:v>
                </c:pt>
                <c:pt idx="178">
                  <c:v>11.695</c:v>
                </c:pt>
                <c:pt idx="179">
                  <c:v>11.690999999999999</c:v>
                </c:pt>
                <c:pt idx="180">
                  <c:v>11.686499999999999</c:v>
                </c:pt>
                <c:pt idx="181">
                  <c:v>11.676</c:v>
                </c:pt>
                <c:pt idx="182">
                  <c:v>11.6615</c:v>
                </c:pt>
                <c:pt idx="183">
                  <c:v>11.676500000000001</c:v>
                </c:pt>
                <c:pt idx="184">
                  <c:v>11.692500000000001</c:v>
                </c:pt>
                <c:pt idx="185">
                  <c:v>11.704500000000001</c:v>
                </c:pt>
                <c:pt idx="186">
                  <c:v>11.737</c:v>
                </c:pt>
                <c:pt idx="187">
                  <c:v>11.763999999999999</c:v>
                </c:pt>
                <c:pt idx="188">
                  <c:v>11.810499999999999</c:v>
                </c:pt>
                <c:pt idx="189">
                  <c:v>11.860999999999999</c:v>
                </c:pt>
                <c:pt idx="190">
                  <c:v>11.882499999999999</c:v>
                </c:pt>
                <c:pt idx="191">
                  <c:v>11.898499999999999</c:v>
                </c:pt>
                <c:pt idx="192">
                  <c:v>11.885499999999999</c:v>
                </c:pt>
                <c:pt idx="193">
                  <c:v>11.872</c:v>
                </c:pt>
                <c:pt idx="194">
                  <c:v>11.864999999999998</c:v>
                </c:pt>
                <c:pt idx="195">
                  <c:v>11.866999999999999</c:v>
                </c:pt>
                <c:pt idx="196">
                  <c:v>11.871999999999998</c:v>
                </c:pt>
                <c:pt idx="197">
                  <c:v>11.872</c:v>
                </c:pt>
                <c:pt idx="198">
                  <c:v>11.886999999999997</c:v>
                </c:pt>
                <c:pt idx="199">
                  <c:v>11.903499999999999</c:v>
                </c:pt>
                <c:pt idx="200">
                  <c:v>11.945</c:v>
                </c:pt>
                <c:pt idx="201">
                  <c:v>11.984999999999999</c:v>
                </c:pt>
                <c:pt idx="202">
                  <c:v>12.021000000000001</c:v>
                </c:pt>
                <c:pt idx="203">
                  <c:v>12.112500000000001</c:v>
                </c:pt>
                <c:pt idx="204">
                  <c:v>12.171000000000001</c:v>
                </c:pt>
                <c:pt idx="205">
                  <c:v>12.2295</c:v>
                </c:pt>
                <c:pt idx="206">
                  <c:v>12.278</c:v>
                </c:pt>
                <c:pt idx="207">
                  <c:v>12.32</c:v>
                </c:pt>
                <c:pt idx="208">
                  <c:v>12.343</c:v>
                </c:pt>
                <c:pt idx="209">
                  <c:v>12.358499999999999</c:v>
                </c:pt>
                <c:pt idx="210">
                  <c:v>12.401999999999999</c:v>
                </c:pt>
                <c:pt idx="211">
                  <c:v>12.470499999999998</c:v>
                </c:pt>
                <c:pt idx="212">
                  <c:v>12.551499999999999</c:v>
                </c:pt>
                <c:pt idx="213">
                  <c:v>12.641500000000001</c:v>
                </c:pt>
                <c:pt idx="214">
                  <c:v>12.722500000000002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3-4120-8BD8-965C81BD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028016"/>
        <c:axId val="1138026096"/>
      </c:lineChart>
      <c:dateAx>
        <c:axId val="1138028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26096"/>
        <c:crosses val="autoZero"/>
        <c:auto val="1"/>
        <c:lblOffset val="100"/>
        <c:baseTimeUnit val="days"/>
      </c:dateAx>
      <c:valAx>
        <c:axId val="1138026096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2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AMD</a:t>
            </a:r>
            <a:r>
              <a:rPr lang="en-US" baseline="0"/>
              <a:t> Hi Low + 20D</a:t>
            </a:r>
          </a:p>
          <a:p>
            <a:pPr>
              <a:defRPr/>
            </a:pPr>
            <a:r>
              <a:rPr lang="en-US" baseline="0"/>
              <a:t> MA</a:t>
            </a:r>
            <a:endParaRPr lang="en-US"/>
          </a:p>
        </c:rich>
      </c:tx>
      <c:layout>
        <c:manualLayout>
          <c:xMode val="edge"/>
          <c:yMode val="edge"/>
          <c:x val="0.361541557305336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Stocks'!$J$1:$J$2</c:f>
              <c:strCache>
                <c:ptCount val="2"/>
                <c:pt idx="0">
                  <c:v> Calculated Columns </c:v>
                </c:pt>
                <c:pt idx="1">
                  <c:v>High 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Stocks'!$J$3:$J$219</c:f>
              <c:numCache>
                <c:formatCode>General</c:formatCode>
                <c:ptCount val="217"/>
                <c:pt idx="0">
                  <c:v>0.31489999999999974</c:v>
                </c:pt>
                <c:pt idx="1">
                  <c:v>0.41339999999999932</c:v>
                </c:pt>
                <c:pt idx="2">
                  <c:v>0.28540000000000099</c:v>
                </c:pt>
                <c:pt idx="3">
                  <c:v>0.28539999999999921</c:v>
                </c:pt>
                <c:pt idx="4">
                  <c:v>0.16740000000000066</c:v>
                </c:pt>
                <c:pt idx="5">
                  <c:v>0.24600000000000044</c:v>
                </c:pt>
                <c:pt idx="6">
                  <c:v>0.14760000000000062</c:v>
                </c:pt>
                <c:pt idx="7">
                  <c:v>0.1377000000000006</c:v>
                </c:pt>
                <c:pt idx="8">
                  <c:v>0.16740000000000066</c:v>
                </c:pt>
                <c:pt idx="9">
                  <c:v>0.16740000000000066</c:v>
                </c:pt>
                <c:pt idx="10">
                  <c:v>0.16730000000000089</c:v>
                </c:pt>
                <c:pt idx="11">
                  <c:v>0.20670000000000144</c:v>
                </c:pt>
                <c:pt idx="12">
                  <c:v>0.22630000000000017</c:v>
                </c:pt>
                <c:pt idx="13">
                  <c:v>0.19679999999999964</c:v>
                </c:pt>
                <c:pt idx="14">
                  <c:v>0.21649999999999991</c:v>
                </c:pt>
                <c:pt idx="15">
                  <c:v>0.3149999999999995</c:v>
                </c:pt>
                <c:pt idx="16">
                  <c:v>0.30509999999999948</c:v>
                </c:pt>
                <c:pt idx="17">
                  <c:v>0.25590000000000046</c:v>
                </c:pt>
                <c:pt idx="18">
                  <c:v>0.32469999999999999</c:v>
                </c:pt>
                <c:pt idx="19">
                  <c:v>0.35429999999999851</c:v>
                </c:pt>
                <c:pt idx="20">
                  <c:v>0.45279999999999987</c:v>
                </c:pt>
                <c:pt idx="21">
                  <c:v>0.25099999999999945</c:v>
                </c:pt>
                <c:pt idx="22">
                  <c:v>0.34939999999999927</c:v>
                </c:pt>
                <c:pt idx="23">
                  <c:v>0.37400000000000055</c:v>
                </c:pt>
                <c:pt idx="24">
                  <c:v>0.16729999999999912</c:v>
                </c:pt>
                <c:pt idx="25">
                  <c:v>0.17720000000000091</c:v>
                </c:pt>
                <c:pt idx="26">
                  <c:v>8.8599999999999568E-2</c:v>
                </c:pt>
                <c:pt idx="27">
                  <c:v>0.18700000000000117</c:v>
                </c:pt>
                <c:pt idx="28">
                  <c:v>0.16730000000000089</c:v>
                </c:pt>
                <c:pt idx="29">
                  <c:v>0.11810000000000009</c:v>
                </c:pt>
                <c:pt idx="30">
                  <c:v>0.11999999999999922</c:v>
                </c:pt>
                <c:pt idx="31">
                  <c:v>0.17999999999999972</c:v>
                </c:pt>
                <c:pt idx="32">
                  <c:v>0.11500000000000021</c:v>
                </c:pt>
                <c:pt idx="33">
                  <c:v>0.17999999999999972</c:v>
                </c:pt>
                <c:pt idx="34">
                  <c:v>0.1899999999999995</c:v>
                </c:pt>
                <c:pt idx="35">
                  <c:v>0.17999999999999972</c:v>
                </c:pt>
                <c:pt idx="36">
                  <c:v>0.17999999999999972</c:v>
                </c:pt>
                <c:pt idx="37">
                  <c:v>0.24000000000000021</c:v>
                </c:pt>
                <c:pt idx="38">
                  <c:v>0.37999999999999901</c:v>
                </c:pt>
                <c:pt idx="39">
                  <c:v>0.5</c:v>
                </c:pt>
                <c:pt idx="40">
                  <c:v>0.20999999999999908</c:v>
                </c:pt>
                <c:pt idx="41">
                  <c:v>0.47000000000000064</c:v>
                </c:pt>
                <c:pt idx="42">
                  <c:v>0.30000000000000071</c:v>
                </c:pt>
                <c:pt idx="43">
                  <c:v>0.45000000000000107</c:v>
                </c:pt>
                <c:pt idx="44">
                  <c:v>0.37000000000000099</c:v>
                </c:pt>
                <c:pt idx="45">
                  <c:v>0.47000000000000064</c:v>
                </c:pt>
                <c:pt idx="46">
                  <c:v>0.25</c:v>
                </c:pt>
                <c:pt idx="47">
                  <c:v>0.44999999999999929</c:v>
                </c:pt>
                <c:pt idx="48">
                  <c:v>0.14999999999999858</c:v>
                </c:pt>
                <c:pt idx="49">
                  <c:v>0.24000000000000021</c:v>
                </c:pt>
                <c:pt idx="50">
                  <c:v>0.15999999999999837</c:v>
                </c:pt>
                <c:pt idx="51">
                  <c:v>0.33499999999999908</c:v>
                </c:pt>
                <c:pt idx="52">
                  <c:v>0.16000000000000014</c:v>
                </c:pt>
                <c:pt idx="53">
                  <c:v>0.28999999999999915</c:v>
                </c:pt>
                <c:pt idx="54">
                  <c:v>0.24000000000000021</c:v>
                </c:pt>
                <c:pt idx="55">
                  <c:v>0.17999999999999972</c:v>
                </c:pt>
                <c:pt idx="56">
                  <c:v>0.25999999999999979</c:v>
                </c:pt>
                <c:pt idx="57">
                  <c:v>0.58000000000000007</c:v>
                </c:pt>
                <c:pt idx="58">
                  <c:v>0.27000000000000135</c:v>
                </c:pt>
                <c:pt idx="59">
                  <c:v>0.5649999999999995</c:v>
                </c:pt>
                <c:pt idx="60">
                  <c:v>0.35999999999999943</c:v>
                </c:pt>
                <c:pt idx="61">
                  <c:v>0.44999999999999929</c:v>
                </c:pt>
                <c:pt idx="62">
                  <c:v>0.66999999999999993</c:v>
                </c:pt>
                <c:pt idx="63">
                  <c:v>0.53000000000000114</c:v>
                </c:pt>
                <c:pt idx="64">
                  <c:v>0.64000000000000057</c:v>
                </c:pt>
                <c:pt idx="65">
                  <c:v>0.96999999999999886</c:v>
                </c:pt>
                <c:pt idx="66">
                  <c:v>1.0993999999999993</c:v>
                </c:pt>
                <c:pt idx="67">
                  <c:v>0.39999999999999858</c:v>
                </c:pt>
                <c:pt idx="68">
                  <c:v>0.3100000000000005</c:v>
                </c:pt>
                <c:pt idx="69">
                  <c:v>0.61000000000000121</c:v>
                </c:pt>
                <c:pt idx="70">
                  <c:v>0.25</c:v>
                </c:pt>
                <c:pt idx="71">
                  <c:v>0.33000000000000007</c:v>
                </c:pt>
                <c:pt idx="72">
                  <c:v>0.28500000000000014</c:v>
                </c:pt>
                <c:pt idx="73">
                  <c:v>0.28000000000000114</c:v>
                </c:pt>
                <c:pt idx="74">
                  <c:v>0.19000000000000128</c:v>
                </c:pt>
                <c:pt idx="75">
                  <c:v>0.295399999999999</c:v>
                </c:pt>
                <c:pt idx="76">
                  <c:v>0.27500000000000036</c:v>
                </c:pt>
                <c:pt idx="77">
                  <c:v>0.12999999999999901</c:v>
                </c:pt>
                <c:pt idx="78">
                  <c:v>0.20989999999999931</c:v>
                </c:pt>
                <c:pt idx="79">
                  <c:v>0.26499999999999879</c:v>
                </c:pt>
                <c:pt idx="80">
                  <c:v>0.27000000000000135</c:v>
                </c:pt>
                <c:pt idx="81">
                  <c:v>0.30000000000000071</c:v>
                </c:pt>
                <c:pt idx="82">
                  <c:v>0.17500000000000071</c:v>
                </c:pt>
                <c:pt idx="83">
                  <c:v>0.14499999999999957</c:v>
                </c:pt>
                <c:pt idx="84">
                  <c:v>0.5649999999999995</c:v>
                </c:pt>
                <c:pt idx="85">
                  <c:v>0.38500000000000156</c:v>
                </c:pt>
                <c:pt idx="86">
                  <c:v>0.20400000000000063</c:v>
                </c:pt>
                <c:pt idx="87">
                  <c:v>0.14000000000000057</c:v>
                </c:pt>
                <c:pt idx="88">
                  <c:v>0.25</c:v>
                </c:pt>
                <c:pt idx="89">
                  <c:v>0.21000000000000085</c:v>
                </c:pt>
                <c:pt idx="90">
                  <c:v>0.21999999999999886</c:v>
                </c:pt>
                <c:pt idx="91">
                  <c:v>0.22999999999999865</c:v>
                </c:pt>
                <c:pt idx="92">
                  <c:v>0.16999999999999993</c:v>
                </c:pt>
                <c:pt idx="93">
                  <c:v>0.15499999999999936</c:v>
                </c:pt>
                <c:pt idx="94">
                  <c:v>0.17999999999999972</c:v>
                </c:pt>
                <c:pt idx="95">
                  <c:v>0.24000000000000021</c:v>
                </c:pt>
                <c:pt idx="96">
                  <c:v>0.16000000000000014</c:v>
                </c:pt>
                <c:pt idx="97">
                  <c:v>0.12000000000000099</c:v>
                </c:pt>
                <c:pt idx="98">
                  <c:v>0.27969999999999828</c:v>
                </c:pt>
                <c:pt idx="99">
                  <c:v>0.1850000000000005</c:v>
                </c:pt>
                <c:pt idx="100">
                  <c:v>0.16999999999999993</c:v>
                </c:pt>
                <c:pt idx="101">
                  <c:v>0.34000000000000163</c:v>
                </c:pt>
                <c:pt idx="102">
                  <c:v>0.39999999999999858</c:v>
                </c:pt>
                <c:pt idx="103">
                  <c:v>0.33499999999999908</c:v>
                </c:pt>
                <c:pt idx="104">
                  <c:v>0.1850000000000005</c:v>
                </c:pt>
                <c:pt idx="105">
                  <c:v>0.22000000000000064</c:v>
                </c:pt>
                <c:pt idx="106">
                  <c:v>0.19989999999999952</c:v>
                </c:pt>
                <c:pt idx="107">
                  <c:v>0.16000000000000014</c:v>
                </c:pt>
                <c:pt idx="108">
                  <c:v>0.29000000000000092</c:v>
                </c:pt>
                <c:pt idx="109">
                  <c:v>0.15990000000000038</c:v>
                </c:pt>
                <c:pt idx="110">
                  <c:v>0.16000000000000014</c:v>
                </c:pt>
                <c:pt idx="111">
                  <c:v>0.12999999999999901</c:v>
                </c:pt>
                <c:pt idx="112">
                  <c:v>0.16999999999999993</c:v>
                </c:pt>
                <c:pt idx="113">
                  <c:v>0.25</c:v>
                </c:pt>
                <c:pt idx="114">
                  <c:v>0.13499999999999979</c:v>
                </c:pt>
                <c:pt idx="115">
                  <c:v>0.13999999999999879</c:v>
                </c:pt>
                <c:pt idx="116">
                  <c:v>0.21499999999999986</c:v>
                </c:pt>
                <c:pt idx="117">
                  <c:v>0.14999999999999858</c:v>
                </c:pt>
                <c:pt idx="118">
                  <c:v>0.34500000000000064</c:v>
                </c:pt>
                <c:pt idx="119">
                  <c:v>0.17999999999999972</c:v>
                </c:pt>
                <c:pt idx="120">
                  <c:v>0.24000000000000021</c:v>
                </c:pt>
                <c:pt idx="121">
                  <c:v>0.17499999999999893</c:v>
                </c:pt>
                <c:pt idx="122">
                  <c:v>0.58990000000000009</c:v>
                </c:pt>
                <c:pt idx="123">
                  <c:v>0.41000000000000014</c:v>
                </c:pt>
                <c:pt idx="124">
                  <c:v>0.21000000000000085</c:v>
                </c:pt>
                <c:pt idx="125">
                  <c:v>0.30999999999999872</c:v>
                </c:pt>
                <c:pt idx="126">
                  <c:v>0.20999999999999908</c:v>
                </c:pt>
                <c:pt idx="127">
                  <c:v>0.14000000000000057</c:v>
                </c:pt>
                <c:pt idx="128">
                  <c:v>0.19000000000000128</c:v>
                </c:pt>
                <c:pt idx="129">
                  <c:v>0.14999999999999858</c:v>
                </c:pt>
                <c:pt idx="130">
                  <c:v>0.22499999999999964</c:v>
                </c:pt>
                <c:pt idx="131">
                  <c:v>0.40530000000000044</c:v>
                </c:pt>
                <c:pt idx="132">
                  <c:v>0.29999999999999893</c:v>
                </c:pt>
                <c:pt idx="133">
                  <c:v>0.23650000000000126</c:v>
                </c:pt>
                <c:pt idx="134">
                  <c:v>0.1899999999999995</c:v>
                </c:pt>
                <c:pt idx="135">
                  <c:v>0.23999999999999844</c:v>
                </c:pt>
                <c:pt idx="136">
                  <c:v>0.20999999999999908</c:v>
                </c:pt>
                <c:pt idx="137">
                  <c:v>0.18000000000000149</c:v>
                </c:pt>
                <c:pt idx="138">
                  <c:v>0.19899999999999984</c:v>
                </c:pt>
                <c:pt idx="139">
                  <c:v>0.24990000000000023</c:v>
                </c:pt>
                <c:pt idx="140">
                  <c:v>0.24000000000000021</c:v>
                </c:pt>
                <c:pt idx="141">
                  <c:v>0.22999999999999865</c:v>
                </c:pt>
                <c:pt idx="142">
                  <c:v>0.30499999999999972</c:v>
                </c:pt>
                <c:pt idx="143">
                  <c:v>0.46990000000000087</c:v>
                </c:pt>
                <c:pt idx="144">
                  <c:v>0.24000000000000021</c:v>
                </c:pt>
                <c:pt idx="145">
                  <c:v>0.16000000000000014</c:v>
                </c:pt>
                <c:pt idx="146">
                  <c:v>0.19999999999999929</c:v>
                </c:pt>
                <c:pt idx="147">
                  <c:v>0.17999999999999972</c:v>
                </c:pt>
                <c:pt idx="148">
                  <c:v>0.28500000000000014</c:v>
                </c:pt>
                <c:pt idx="149">
                  <c:v>0.15999999999999837</c:v>
                </c:pt>
                <c:pt idx="150">
                  <c:v>0.50999999999999979</c:v>
                </c:pt>
                <c:pt idx="151">
                  <c:v>0.1899999999999995</c:v>
                </c:pt>
                <c:pt idx="152">
                  <c:v>0.30000000000000071</c:v>
                </c:pt>
                <c:pt idx="153">
                  <c:v>0.23499999999999943</c:v>
                </c:pt>
                <c:pt idx="154">
                  <c:v>0.10999999999999943</c:v>
                </c:pt>
                <c:pt idx="155">
                  <c:v>0.11000000000000121</c:v>
                </c:pt>
                <c:pt idx="156">
                  <c:v>0.24000000000000021</c:v>
                </c:pt>
                <c:pt idx="157">
                  <c:v>0.12999999999999901</c:v>
                </c:pt>
                <c:pt idx="158">
                  <c:v>0.23499999999999943</c:v>
                </c:pt>
                <c:pt idx="159">
                  <c:v>0.37999999999999901</c:v>
                </c:pt>
                <c:pt idx="160">
                  <c:v>0.16999999999999993</c:v>
                </c:pt>
                <c:pt idx="161">
                  <c:v>9.9999999999999645E-2</c:v>
                </c:pt>
                <c:pt idx="162">
                  <c:v>0.16999999999999993</c:v>
                </c:pt>
                <c:pt idx="163">
                  <c:v>0.35999999999999943</c:v>
                </c:pt>
                <c:pt idx="164">
                  <c:v>0.10999999999999943</c:v>
                </c:pt>
                <c:pt idx="165">
                  <c:v>0.25</c:v>
                </c:pt>
                <c:pt idx="166">
                  <c:v>0.15499999999999936</c:v>
                </c:pt>
                <c:pt idx="167">
                  <c:v>0.12999999999999901</c:v>
                </c:pt>
                <c:pt idx="168">
                  <c:v>0.25</c:v>
                </c:pt>
                <c:pt idx="169">
                  <c:v>0.16999999999999993</c:v>
                </c:pt>
                <c:pt idx="170">
                  <c:v>0.23000000000000043</c:v>
                </c:pt>
                <c:pt idx="171">
                  <c:v>0.20999999999999908</c:v>
                </c:pt>
                <c:pt idx="172">
                  <c:v>0.35999999999999943</c:v>
                </c:pt>
                <c:pt idx="173">
                  <c:v>0.15000000000000036</c:v>
                </c:pt>
                <c:pt idx="174">
                  <c:v>0.14500000000000135</c:v>
                </c:pt>
                <c:pt idx="175">
                  <c:v>0.26999999999999957</c:v>
                </c:pt>
                <c:pt idx="176">
                  <c:v>0.33000000000000007</c:v>
                </c:pt>
                <c:pt idx="177">
                  <c:v>0.16000000000000014</c:v>
                </c:pt>
                <c:pt idx="178">
                  <c:v>0.21499999999999986</c:v>
                </c:pt>
                <c:pt idx="179">
                  <c:v>0.13499999999999979</c:v>
                </c:pt>
                <c:pt idx="180">
                  <c:v>0.23499999999999943</c:v>
                </c:pt>
                <c:pt idx="181">
                  <c:v>0.24000000000000021</c:v>
                </c:pt>
                <c:pt idx="182">
                  <c:v>0.28000000000000114</c:v>
                </c:pt>
                <c:pt idx="183">
                  <c:v>0.66499999999999915</c:v>
                </c:pt>
                <c:pt idx="184">
                  <c:v>0.22999999999999865</c:v>
                </c:pt>
                <c:pt idx="185">
                  <c:v>0.28999999999999915</c:v>
                </c:pt>
                <c:pt idx="186">
                  <c:v>0.24000000000000021</c:v>
                </c:pt>
                <c:pt idx="187">
                  <c:v>0.3100000000000005</c:v>
                </c:pt>
                <c:pt idx="188">
                  <c:v>0.47000000000000064</c:v>
                </c:pt>
                <c:pt idx="189">
                  <c:v>0.32000000000000028</c:v>
                </c:pt>
                <c:pt idx="190">
                  <c:v>0.78999999999999915</c:v>
                </c:pt>
                <c:pt idx="191">
                  <c:v>0.33399999999999963</c:v>
                </c:pt>
                <c:pt idx="192">
                  <c:v>0.28999999999999915</c:v>
                </c:pt>
                <c:pt idx="193">
                  <c:v>0.24000000000000021</c:v>
                </c:pt>
                <c:pt idx="194">
                  <c:v>0.16999999999999993</c:v>
                </c:pt>
                <c:pt idx="195">
                  <c:v>0.41999999999999993</c:v>
                </c:pt>
                <c:pt idx="196">
                  <c:v>0.13999999999999879</c:v>
                </c:pt>
                <c:pt idx="197">
                  <c:v>0.14999999999999858</c:v>
                </c:pt>
                <c:pt idx="198">
                  <c:v>0.28999999999999915</c:v>
                </c:pt>
                <c:pt idx="199">
                  <c:v>0.16999999999999993</c:v>
                </c:pt>
                <c:pt idx="200">
                  <c:v>0.5600000000000005</c:v>
                </c:pt>
                <c:pt idx="201">
                  <c:v>0.31500000000000128</c:v>
                </c:pt>
                <c:pt idx="202">
                  <c:v>0.30000000000000071</c:v>
                </c:pt>
                <c:pt idx="203">
                  <c:v>1.2599999999999998</c:v>
                </c:pt>
                <c:pt idx="204">
                  <c:v>0.58999999999999986</c:v>
                </c:pt>
                <c:pt idx="205">
                  <c:v>0.24000000000000021</c:v>
                </c:pt>
                <c:pt idx="206">
                  <c:v>0.32000000000000028</c:v>
                </c:pt>
                <c:pt idx="207">
                  <c:v>0.22999999999999865</c:v>
                </c:pt>
                <c:pt idx="208">
                  <c:v>0.17999999999999972</c:v>
                </c:pt>
                <c:pt idx="209">
                  <c:v>0.19999999999999929</c:v>
                </c:pt>
                <c:pt idx="210">
                  <c:v>0.17999999999999972</c:v>
                </c:pt>
                <c:pt idx="211">
                  <c:v>0.42499999999999893</c:v>
                </c:pt>
                <c:pt idx="212">
                  <c:v>0.27999999999999936</c:v>
                </c:pt>
                <c:pt idx="213">
                  <c:v>0.29000000000000092</c:v>
                </c:pt>
                <c:pt idx="214">
                  <c:v>0.23499999999999943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5-434F-8E5D-F2CA9B1C6850}"/>
            </c:ext>
          </c:extLst>
        </c:ser>
        <c:ser>
          <c:idx val="1"/>
          <c:order val="1"/>
          <c:tx>
            <c:strRef>
              <c:f>'US Stocks'!$K$1:$K$2</c:f>
              <c:strCache>
                <c:ptCount val="2"/>
                <c:pt idx="0">
                  <c:v> Calculated Columns </c:v>
                </c:pt>
                <c:pt idx="1">
                  <c:v> High Low 20Day 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Stocks'!$K$3:$K$219</c:f>
              <c:numCache>
                <c:formatCode>_(* #,##0.00_);_(* \(#,##0.00\);_(* "-"??_);_(@_)</c:formatCode>
                <c:ptCount val="217"/>
                <c:pt idx="19">
                  <c:v>0.24506000000000014</c:v>
                </c:pt>
                <c:pt idx="20">
                  <c:v>0.25195500000000015</c:v>
                </c:pt>
                <c:pt idx="21">
                  <c:v>0.24383500000000016</c:v>
                </c:pt>
                <c:pt idx="22">
                  <c:v>0.24703500000000006</c:v>
                </c:pt>
                <c:pt idx="23">
                  <c:v>0.25146500000000016</c:v>
                </c:pt>
                <c:pt idx="24">
                  <c:v>0.25146000000000007</c:v>
                </c:pt>
                <c:pt idx="25">
                  <c:v>0.24802000000000007</c:v>
                </c:pt>
                <c:pt idx="26">
                  <c:v>0.24507000000000004</c:v>
                </c:pt>
                <c:pt idx="27">
                  <c:v>0.24753500000000006</c:v>
                </c:pt>
                <c:pt idx="28">
                  <c:v>0.24753000000000008</c:v>
                </c:pt>
                <c:pt idx="29">
                  <c:v>0.24506500000000003</c:v>
                </c:pt>
                <c:pt idx="30">
                  <c:v>0.24269999999999997</c:v>
                </c:pt>
                <c:pt idx="31">
                  <c:v>0.24136499999999989</c:v>
                </c:pt>
                <c:pt idx="32">
                  <c:v>0.23579999999999987</c:v>
                </c:pt>
                <c:pt idx="33">
                  <c:v>0.23495999999999989</c:v>
                </c:pt>
                <c:pt idx="34">
                  <c:v>0.23363499999999987</c:v>
                </c:pt>
                <c:pt idx="35">
                  <c:v>0.22688499999999986</c:v>
                </c:pt>
                <c:pt idx="36">
                  <c:v>0.22062999999999988</c:v>
                </c:pt>
                <c:pt idx="37">
                  <c:v>0.21983499999999986</c:v>
                </c:pt>
                <c:pt idx="38">
                  <c:v>0.22259999999999983</c:v>
                </c:pt>
                <c:pt idx="39">
                  <c:v>0.22988499999999989</c:v>
                </c:pt>
                <c:pt idx="40">
                  <c:v>0.21774499999999986</c:v>
                </c:pt>
                <c:pt idx="41">
                  <c:v>0.22869499999999993</c:v>
                </c:pt>
                <c:pt idx="42">
                  <c:v>0.22622499999999998</c:v>
                </c:pt>
                <c:pt idx="43">
                  <c:v>0.23002500000000001</c:v>
                </c:pt>
                <c:pt idx="44">
                  <c:v>0.2401600000000001</c:v>
                </c:pt>
                <c:pt idx="45">
                  <c:v>0.25480000000000008</c:v>
                </c:pt>
                <c:pt idx="46">
                  <c:v>0.2628700000000001</c:v>
                </c:pt>
                <c:pt idx="47">
                  <c:v>0.27602000000000004</c:v>
                </c:pt>
                <c:pt idx="48">
                  <c:v>0.27515499999999993</c:v>
                </c:pt>
                <c:pt idx="49">
                  <c:v>0.28124999999999989</c:v>
                </c:pt>
                <c:pt idx="50">
                  <c:v>0.28324999999999989</c:v>
                </c:pt>
                <c:pt idx="51">
                  <c:v>0.29099999999999981</c:v>
                </c:pt>
                <c:pt idx="52">
                  <c:v>0.29324999999999984</c:v>
                </c:pt>
                <c:pt idx="53">
                  <c:v>0.29874999999999979</c:v>
                </c:pt>
                <c:pt idx="54">
                  <c:v>0.30124999999999985</c:v>
                </c:pt>
                <c:pt idx="55">
                  <c:v>0.30124999999999985</c:v>
                </c:pt>
                <c:pt idx="56">
                  <c:v>0.30524999999999985</c:v>
                </c:pt>
                <c:pt idx="57">
                  <c:v>0.32224999999999981</c:v>
                </c:pt>
                <c:pt idx="58">
                  <c:v>0.31674999999999998</c:v>
                </c:pt>
                <c:pt idx="59">
                  <c:v>0.31999999999999995</c:v>
                </c:pt>
                <c:pt idx="60">
                  <c:v>0.32749999999999996</c:v>
                </c:pt>
                <c:pt idx="61">
                  <c:v>0.3264999999999999</c:v>
                </c:pt>
                <c:pt idx="62">
                  <c:v>0.34499999999999986</c:v>
                </c:pt>
                <c:pt idx="63">
                  <c:v>0.34899999999999987</c:v>
                </c:pt>
                <c:pt idx="64">
                  <c:v>0.36249999999999982</c:v>
                </c:pt>
                <c:pt idx="65">
                  <c:v>0.38749999999999973</c:v>
                </c:pt>
                <c:pt idx="66">
                  <c:v>0.42996999999999969</c:v>
                </c:pt>
                <c:pt idx="67">
                  <c:v>0.42746999999999968</c:v>
                </c:pt>
                <c:pt idx="68">
                  <c:v>0.43546999999999975</c:v>
                </c:pt>
                <c:pt idx="69">
                  <c:v>0.45396999999999982</c:v>
                </c:pt>
                <c:pt idx="70">
                  <c:v>0.45846999999999988</c:v>
                </c:pt>
                <c:pt idx="71">
                  <c:v>0.45821999999999996</c:v>
                </c:pt>
                <c:pt idx="72">
                  <c:v>0.46446999999999994</c:v>
                </c:pt>
                <c:pt idx="73">
                  <c:v>0.46397000000000005</c:v>
                </c:pt>
                <c:pt idx="74">
                  <c:v>0.4614700000000001</c:v>
                </c:pt>
                <c:pt idx="75">
                  <c:v>0.46724000000000004</c:v>
                </c:pt>
                <c:pt idx="76">
                  <c:v>0.46799000000000007</c:v>
                </c:pt>
                <c:pt idx="77">
                  <c:v>0.44549000000000005</c:v>
                </c:pt>
                <c:pt idx="78">
                  <c:v>0.44248499999999991</c:v>
                </c:pt>
                <c:pt idx="79">
                  <c:v>0.42748499999999989</c:v>
                </c:pt>
                <c:pt idx="80">
                  <c:v>0.422985</c:v>
                </c:pt>
                <c:pt idx="81">
                  <c:v>0.41548500000000005</c:v>
                </c:pt>
                <c:pt idx="82">
                  <c:v>0.39073500000000011</c:v>
                </c:pt>
                <c:pt idx="83">
                  <c:v>0.37148500000000001</c:v>
                </c:pt>
                <c:pt idx="84">
                  <c:v>0.36773499999999998</c:v>
                </c:pt>
                <c:pt idx="85">
                  <c:v>0.33848500000000009</c:v>
                </c:pt>
                <c:pt idx="86">
                  <c:v>0.29371500000000017</c:v>
                </c:pt>
                <c:pt idx="87">
                  <c:v>0.28071500000000027</c:v>
                </c:pt>
                <c:pt idx="88">
                  <c:v>0.27771500000000027</c:v>
                </c:pt>
                <c:pt idx="89">
                  <c:v>0.25771500000000025</c:v>
                </c:pt>
                <c:pt idx="90">
                  <c:v>0.25621500000000019</c:v>
                </c:pt>
                <c:pt idx="91">
                  <c:v>0.25121500000000008</c:v>
                </c:pt>
                <c:pt idx="92">
                  <c:v>0.2454650000000001</c:v>
                </c:pt>
                <c:pt idx="93">
                  <c:v>0.23921500000000001</c:v>
                </c:pt>
                <c:pt idx="94">
                  <c:v>0.23871499999999993</c:v>
                </c:pt>
                <c:pt idx="95">
                  <c:v>0.23594499999999999</c:v>
                </c:pt>
                <c:pt idx="96">
                  <c:v>0.23019499999999998</c:v>
                </c:pt>
                <c:pt idx="97">
                  <c:v>0.22969500000000007</c:v>
                </c:pt>
                <c:pt idx="98">
                  <c:v>0.23318500000000003</c:v>
                </c:pt>
                <c:pt idx="99">
                  <c:v>0.22918500000000011</c:v>
                </c:pt>
                <c:pt idx="100">
                  <c:v>0.22418500000000002</c:v>
                </c:pt>
                <c:pt idx="101">
                  <c:v>0.22618500000000008</c:v>
                </c:pt>
                <c:pt idx="102">
                  <c:v>0.23743499999999998</c:v>
                </c:pt>
                <c:pt idx="103">
                  <c:v>0.24693499999999996</c:v>
                </c:pt>
                <c:pt idx="104">
                  <c:v>0.227935</c:v>
                </c:pt>
                <c:pt idx="105">
                  <c:v>0.21968499999999996</c:v>
                </c:pt>
                <c:pt idx="106">
                  <c:v>0.2194799999999999</c:v>
                </c:pt>
                <c:pt idx="107">
                  <c:v>0.22047999999999987</c:v>
                </c:pt>
                <c:pt idx="108">
                  <c:v>0.22247999999999993</c:v>
                </c:pt>
                <c:pt idx="109">
                  <c:v>0.21997499999999989</c:v>
                </c:pt>
                <c:pt idx="110">
                  <c:v>0.21697499999999997</c:v>
                </c:pt>
                <c:pt idx="111">
                  <c:v>0.21197499999999997</c:v>
                </c:pt>
                <c:pt idx="112">
                  <c:v>0.21197499999999997</c:v>
                </c:pt>
                <c:pt idx="113">
                  <c:v>0.216725</c:v>
                </c:pt>
                <c:pt idx="114">
                  <c:v>0.21447500000000003</c:v>
                </c:pt>
                <c:pt idx="115">
                  <c:v>0.20947499999999994</c:v>
                </c:pt>
                <c:pt idx="116">
                  <c:v>0.21222499999999994</c:v>
                </c:pt>
                <c:pt idx="117">
                  <c:v>0.2137249999999998</c:v>
                </c:pt>
                <c:pt idx="118">
                  <c:v>0.21698999999999993</c:v>
                </c:pt>
                <c:pt idx="119">
                  <c:v>0.21673999999999988</c:v>
                </c:pt>
                <c:pt idx="120">
                  <c:v>0.22023999999999991</c:v>
                </c:pt>
                <c:pt idx="121">
                  <c:v>0.21198999999999976</c:v>
                </c:pt>
                <c:pt idx="122">
                  <c:v>0.22148499999999985</c:v>
                </c:pt>
                <c:pt idx="123">
                  <c:v>0.22523499999999991</c:v>
                </c:pt>
                <c:pt idx="124">
                  <c:v>0.22648499999999991</c:v>
                </c:pt>
                <c:pt idx="125">
                  <c:v>0.23098499999999983</c:v>
                </c:pt>
                <c:pt idx="126">
                  <c:v>0.23148999999999981</c:v>
                </c:pt>
                <c:pt idx="127">
                  <c:v>0.23048999999999981</c:v>
                </c:pt>
                <c:pt idx="128">
                  <c:v>0.22548999999999983</c:v>
                </c:pt>
                <c:pt idx="129">
                  <c:v>0.22499499999999975</c:v>
                </c:pt>
                <c:pt idx="130">
                  <c:v>0.22824499999999973</c:v>
                </c:pt>
                <c:pt idx="131">
                  <c:v>0.24200999999999978</c:v>
                </c:pt>
                <c:pt idx="132">
                  <c:v>0.24850999999999973</c:v>
                </c:pt>
                <c:pt idx="133">
                  <c:v>0.24783499999999981</c:v>
                </c:pt>
                <c:pt idx="134">
                  <c:v>0.25058499999999978</c:v>
                </c:pt>
                <c:pt idx="135">
                  <c:v>0.25558499999999978</c:v>
                </c:pt>
                <c:pt idx="136">
                  <c:v>0.25533499999999976</c:v>
                </c:pt>
                <c:pt idx="137">
                  <c:v>0.25683499999999987</c:v>
                </c:pt>
                <c:pt idx="138">
                  <c:v>0.24953499999999984</c:v>
                </c:pt>
                <c:pt idx="139">
                  <c:v>0.25302999999999987</c:v>
                </c:pt>
                <c:pt idx="140">
                  <c:v>0.25302999999999987</c:v>
                </c:pt>
                <c:pt idx="141">
                  <c:v>0.25577999999999984</c:v>
                </c:pt>
                <c:pt idx="142">
                  <c:v>0.24153499999999983</c:v>
                </c:pt>
                <c:pt idx="143">
                  <c:v>0.24452999999999986</c:v>
                </c:pt>
                <c:pt idx="144">
                  <c:v>0.24602999999999983</c:v>
                </c:pt>
                <c:pt idx="145">
                  <c:v>0.23852999999999991</c:v>
                </c:pt>
                <c:pt idx="146">
                  <c:v>0.23802999999999991</c:v>
                </c:pt>
                <c:pt idx="147">
                  <c:v>0.24002999999999988</c:v>
                </c:pt>
                <c:pt idx="148">
                  <c:v>0.24477999999999983</c:v>
                </c:pt>
                <c:pt idx="149">
                  <c:v>0.2452799999999998</c:v>
                </c:pt>
                <c:pt idx="150">
                  <c:v>0.25952999999999982</c:v>
                </c:pt>
                <c:pt idx="151">
                  <c:v>0.24876499999999976</c:v>
                </c:pt>
                <c:pt idx="152">
                  <c:v>0.24876499999999985</c:v>
                </c:pt>
                <c:pt idx="153">
                  <c:v>0.24868999999999977</c:v>
                </c:pt>
                <c:pt idx="154">
                  <c:v>0.24468999999999977</c:v>
                </c:pt>
                <c:pt idx="155">
                  <c:v>0.2381899999999999</c:v>
                </c:pt>
                <c:pt idx="156">
                  <c:v>0.23968999999999996</c:v>
                </c:pt>
                <c:pt idx="157">
                  <c:v>0.23718999999999985</c:v>
                </c:pt>
                <c:pt idx="158">
                  <c:v>0.23898999999999981</c:v>
                </c:pt>
                <c:pt idx="159">
                  <c:v>0.24549499999999974</c:v>
                </c:pt>
                <c:pt idx="160">
                  <c:v>0.24199499999999974</c:v>
                </c:pt>
                <c:pt idx="161">
                  <c:v>0.23549499999999979</c:v>
                </c:pt>
                <c:pt idx="162">
                  <c:v>0.22874499999999981</c:v>
                </c:pt>
                <c:pt idx="163">
                  <c:v>0.22324999999999973</c:v>
                </c:pt>
                <c:pt idx="164">
                  <c:v>0.21674999999999969</c:v>
                </c:pt>
                <c:pt idx="165">
                  <c:v>0.22124999999999967</c:v>
                </c:pt>
                <c:pt idx="166">
                  <c:v>0.21899999999999969</c:v>
                </c:pt>
                <c:pt idx="167">
                  <c:v>0.21649999999999964</c:v>
                </c:pt>
                <c:pt idx="168">
                  <c:v>0.21474999999999964</c:v>
                </c:pt>
                <c:pt idx="169">
                  <c:v>0.21524999999999972</c:v>
                </c:pt>
                <c:pt idx="170">
                  <c:v>0.20124999999999976</c:v>
                </c:pt>
                <c:pt idx="171">
                  <c:v>0.20224999999999974</c:v>
                </c:pt>
                <c:pt idx="172">
                  <c:v>0.20524999999999965</c:v>
                </c:pt>
                <c:pt idx="173">
                  <c:v>0.20099999999999971</c:v>
                </c:pt>
                <c:pt idx="174">
                  <c:v>0.20274999999999982</c:v>
                </c:pt>
                <c:pt idx="175">
                  <c:v>0.21074999999999972</c:v>
                </c:pt>
                <c:pt idx="176">
                  <c:v>0.21524999999999972</c:v>
                </c:pt>
                <c:pt idx="177">
                  <c:v>0.21674999999999978</c:v>
                </c:pt>
                <c:pt idx="178">
                  <c:v>0.2157499999999998</c:v>
                </c:pt>
                <c:pt idx="179">
                  <c:v>0.20349999999999985</c:v>
                </c:pt>
                <c:pt idx="180">
                  <c:v>0.20674999999999982</c:v>
                </c:pt>
                <c:pt idx="181">
                  <c:v>0.21374999999999983</c:v>
                </c:pt>
                <c:pt idx="182">
                  <c:v>0.21924999999999989</c:v>
                </c:pt>
                <c:pt idx="183">
                  <c:v>0.23449999999999988</c:v>
                </c:pt>
                <c:pt idx="184">
                  <c:v>0.24049999999999985</c:v>
                </c:pt>
                <c:pt idx="185">
                  <c:v>0.2424999999999998</c:v>
                </c:pt>
                <c:pt idx="186">
                  <c:v>0.24674999999999986</c:v>
                </c:pt>
                <c:pt idx="187">
                  <c:v>0.25574999999999992</c:v>
                </c:pt>
                <c:pt idx="188">
                  <c:v>0.26674999999999993</c:v>
                </c:pt>
                <c:pt idx="189">
                  <c:v>0.27424999999999999</c:v>
                </c:pt>
                <c:pt idx="190">
                  <c:v>0.30224999999999991</c:v>
                </c:pt>
                <c:pt idx="191">
                  <c:v>0.30844999999999995</c:v>
                </c:pt>
                <c:pt idx="192">
                  <c:v>0.30494999999999994</c:v>
                </c:pt>
                <c:pt idx="193">
                  <c:v>0.30944999999999989</c:v>
                </c:pt>
                <c:pt idx="194">
                  <c:v>0.31069999999999987</c:v>
                </c:pt>
                <c:pt idx="195">
                  <c:v>0.31819999999999987</c:v>
                </c:pt>
                <c:pt idx="196">
                  <c:v>0.30869999999999981</c:v>
                </c:pt>
                <c:pt idx="197">
                  <c:v>0.3081999999999997</c:v>
                </c:pt>
                <c:pt idx="198">
                  <c:v>0.31194999999999967</c:v>
                </c:pt>
                <c:pt idx="199">
                  <c:v>0.3136999999999997</c:v>
                </c:pt>
                <c:pt idx="200">
                  <c:v>0.32994999999999974</c:v>
                </c:pt>
                <c:pt idx="201">
                  <c:v>0.33369999999999977</c:v>
                </c:pt>
                <c:pt idx="202">
                  <c:v>0.33469999999999978</c:v>
                </c:pt>
                <c:pt idx="203">
                  <c:v>0.36444999999999983</c:v>
                </c:pt>
                <c:pt idx="204">
                  <c:v>0.38244999999999985</c:v>
                </c:pt>
                <c:pt idx="205">
                  <c:v>0.3799499999999999</c:v>
                </c:pt>
                <c:pt idx="206">
                  <c:v>0.3839499999999999</c:v>
                </c:pt>
                <c:pt idx="207">
                  <c:v>0.37994999999999984</c:v>
                </c:pt>
                <c:pt idx="208">
                  <c:v>0.36544999999999978</c:v>
                </c:pt>
                <c:pt idx="209">
                  <c:v>0.35944999999999971</c:v>
                </c:pt>
                <c:pt idx="210">
                  <c:v>0.32894999999999974</c:v>
                </c:pt>
                <c:pt idx="211">
                  <c:v>0.33349999999999974</c:v>
                </c:pt>
                <c:pt idx="212">
                  <c:v>0.33299999999999974</c:v>
                </c:pt>
                <c:pt idx="213">
                  <c:v>0.3354999999999998</c:v>
                </c:pt>
                <c:pt idx="214">
                  <c:v>0.33874999999999977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5-434F-8E5D-F2CA9B1C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738016"/>
        <c:axId val="1132734656"/>
      </c:lineChart>
      <c:dateAx>
        <c:axId val="1132738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34656"/>
        <c:crosses val="autoZero"/>
        <c:auto val="1"/>
        <c:lblOffset val="100"/>
        <c:baseTimeUnit val="days"/>
      </c:dateAx>
      <c:valAx>
        <c:axId val="11327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3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Stocks'!$L$1:$L$2</c:f>
              <c:strCache>
                <c:ptCount val="2"/>
                <c:pt idx="0">
                  <c:v> Calculated Columns </c:v>
                </c:pt>
                <c:pt idx="1">
                  <c:v>Cum 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Stocks'!$L$3:$L$219</c:f>
              <c:numCache>
                <c:formatCode>0.0%</c:formatCode>
                <c:ptCount val="217"/>
                <c:pt idx="0">
                  <c:v>0</c:v>
                </c:pt>
                <c:pt idx="1">
                  <c:v>2.383835405852186E-2</c:v>
                </c:pt>
                <c:pt idx="2">
                  <c:v>2.7986901540437925E-2</c:v>
                </c:pt>
                <c:pt idx="3">
                  <c:v>1.1403240921104008E-2</c:v>
                </c:pt>
                <c:pt idx="4">
                  <c:v>9.328967180145975E-3</c:v>
                </c:pt>
                <c:pt idx="5">
                  <c:v>0</c:v>
                </c:pt>
                <c:pt idx="6">
                  <c:v>6.2228212228738755E-3</c:v>
                </c:pt>
                <c:pt idx="7">
                  <c:v>1.3477514662061818E-2</c:v>
                </c:pt>
                <c:pt idx="8">
                  <c:v>3.1093047497710025E-2</c:v>
                </c:pt>
                <c:pt idx="9">
                  <c:v>3.7305339412254002E-2</c:v>
                </c:pt>
                <c:pt idx="10">
                  <c:v>5.4931401556231885E-2</c:v>
                </c:pt>
                <c:pt idx="11">
                  <c:v>8.0833500047382101E-2</c:v>
                </c:pt>
                <c:pt idx="12">
                  <c:v>3.9379613153212034E-2</c:v>
                </c:pt>
                <c:pt idx="13">
                  <c:v>5.2857127815273852E-2</c:v>
                </c:pt>
                <c:pt idx="14">
                  <c:v>4.8708580333358009E-2</c:v>
                </c:pt>
                <c:pt idx="15">
                  <c:v>7.5653080349151969E-2</c:v>
                </c:pt>
                <c:pt idx="16">
                  <c:v>4.4560032851442166E-2</c:v>
                </c:pt>
                <c:pt idx="17">
                  <c:v>5.8037547513503984E-2</c:v>
                </c:pt>
                <c:pt idx="18">
                  <c:v>5.2857127815273852E-2</c:v>
                </c:pt>
                <c:pt idx="19">
                  <c:v>4.4560032851442166E-2</c:v>
                </c:pt>
                <c:pt idx="20">
                  <c:v>2.4870226274835927E-2</c:v>
                </c:pt>
                <c:pt idx="21">
                  <c:v>5.2857127815273852E-2</c:v>
                </c:pt>
                <c:pt idx="22">
                  <c:v>3.7305339412254002E-2</c:v>
                </c:pt>
                <c:pt idx="23">
                  <c:v>-4.041148536952599E-2</c:v>
                </c:pt>
                <c:pt idx="24">
                  <c:v>-4.2485759110483912E-2</c:v>
                </c:pt>
                <c:pt idx="25">
                  <c:v>-4.2485759110483912E-2</c:v>
                </c:pt>
                <c:pt idx="26">
                  <c:v>-4.5591905067756122E-2</c:v>
                </c:pt>
                <c:pt idx="27">
                  <c:v>-4.351763132679809E-2</c:v>
                </c:pt>
                <c:pt idx="28">
                  <c:v>-3.1082518189380126E-2</c:v>
                </c:pt>
                <c:pt idx="29">
                  <c:v>-1.7615532835647985E-2</c:v>
                </c:pt>
                <c:pt idx="30">
                  <c:v>-2.182725616754233E-2</c:v>
                </c:pt>
                <c:pt idx="31">
                  <c:v>-1.6562602002674343E-2</c:v>
                </c:pt>
                <c:pt idx="32">
                  <c:v>-1.1297947837806355E-2</c:v>
                </c:pt>
                <c:pt idx="33">
                  <c:v>-2.2880187000515972E-2</c:v>
                </c:pt>
                <c:pt idx="34">
                  <c:v>-1.5509671169700812E-2</c:v>
                </c:pt>
                <c:pt idx="35">
                  <c:v>-8.1391553388857618E-3</c:v>
                </c:pt>
                <c:pt idx="36">
                  <c:v>-2.8745011740177739E-3</c:v>
                </c:pt>
                <c:pt idx="37">
                  <c:v>-2.182725616754233E-2</c:v>
                </c:pt>
                <c:pt idx="38">
                  <c:v>5.5489454897710289E-3</c:v>
                </c:pt>
                <c:pt idx="39">
                  <c:v>-1.1297947837806355E-2</c:v>
                </c:pt>
                <c:pt idx="40">
                  <c:v>-3.9727080328093245E-2</c:v>
                </c:pt>
                <c:pt idx="41">
                  <c:v>1.6078253819506783E-2</c:v>
                </c:pt>
                <c:pt idx="42">
                  <c:v>1.1866530487612215E-2</c:v>
                </c:pt>
                <c:pt idx="43">
                  <c:v>4.2401524643846278E-2</c:v>
                </c:pt>
                <c:pt idx="44">
                  <c:v>4.8719109641687908E-2</c:v>
                </c:pt>
                <c:pt idx="45">
                  <c:v>2.0289977151400906E-2</c:v>
                </c:pt>
                <c:pt idx="46">
                  <c:v>9.7606688216651527E-3</c:v>
                </c:pt>
                <c:pt idx="47">
                  <c:v>3.4430838238235228E-3</c:v>
                </c:pt>
                <c:pt idx="48">
                  <c:v>2.4501700483295474E-2</c:v>
                </c:pt>
                <c:pt idx="49">
                  <c:v>4.450738630979334E-2</c:v>
                </c:pt>
                <c:pt idx="50">
                  <c:v>4.7666178808714044E-2</c:v>
                </c:pt>
                <c:pt idx="51">
                  <c:v>7.0830657134132835E-2</c:v>
                </c:pt>
                <c:pt idx="52">
                  <c:v>5.3983763806555674E-2</c:v>
                </c:pt>
                <c:pt idx="53">
                  <c:v>5.2930832973582032E-2</c:v>
                </c:pt>
                <c:pt idx="54">
                  <c:v>7.9254103797921527E-2</c:v>
                </c:pt>
                <c:pt idx="55">
                  <c:v>8.3465827129815873E-2</c:v>
                </c:pt>
                <c:pt idx="56">
                  <c:v>8.4518757962789515E-2</c:v>
                </c:pt>
                <c:pt idx="57">
                  <c:v>4.2401524643846278E-2</c:v>
                </c:pt>
                <c:pt idx="58">
                  <c:v>2.3448769650321832E-2</c:v>
                </c:pt>
                <c:pt idx="59">
                  <c:v>5.6089625472502735E-2</c:v>
                </c:pt>
                <c:pt idx="60">
                  <c:v>4.6613247975740402E-2</c:v>
                </c:pt>
                <c:pt idx="61">
                  <c:v>6.8724795468185773E-2</c:v>
                </c:pt>
                <c:pt idx="62">
                  <c:v>4.4960146567971648E-3</c:v>
                </c:pt>
                <c:pt idx="63">
                  <c:v>8.7077379886915107E-3</c:v>
                </c:pt>
                <c:pt idx="64">
                  <c:v>-2.7091910332410207E-2</c:v>
                </c:pt>
                <c:pt idx="65">
                  <c:v>-8.5003106145957297E-2</c:v>
                </c:pt>
                <c:pt idx="66">
                  <c:v>2.8429132490304099E-4</c:v>
                </c:pt>
                <c:pt idx="67">
                  <c:v>-3.7621218662145961E-2</c:v>
                </c:pt>
                <c:pt idx="68">
                  <c:v>-1.7615532835647985E-2</c:v>
                </c:pt>
                <c:pt idx="69">
                  <c:v>2.239583881734819E-2</c:v>
                </c:pt>
                <c:pt idx="70">
                  <c:v>-4.9803628399650579E-3</c:v>
                </c:pt>
                <c:pt idx="71">
                  <c:v>-1.0245017004832824E-2</c:v>
                </c:pt>
                <c:pt idx="72">
                  <c:v>1.3972392153559499E-2</c:v>
                </c:pt>
                <c:pt idx="73">
                  <c:v>-2.8745011740177739E-3</c:v>
                </c:pt>
                <c:pt idx="74">
                  <c:v>1.6078253819506783E-2</c:v>
                </c:pt>
                <c:pt idx="75">
                  <c:v>2.976635464816324E-2</c:v>
                </c:pt>
                <c:pt idx="76">
                  <c:v>5.9248417971423661E-2</c:v>
                </c:pt>
                <c:pt idx="77">
                  <c:v>5.7142556305476377E-2</c:v>
                </c:pt>
                <c:pt idx="78">
                  <c:v>5.5036694639529093E-2</c:v>
                </c:pt>
                <c:pt idx="79">
                  <c:v>6.8724795468185773E-2</c:v>
                </c:pt>
                <c:pt idx="80">
                  <c:v>5.3983763806555674E-2</c:v>
                </c:pt>
                <c:pt idx="81">
                  <c:v>7.1883587967106477E-2</c:v>
                </c:pt>
                <c:pt idx="82">
                  <c:v>8.2412896296842231E-2</c:v>
                </c:pt>
                <c:pt idx="83">
                  <c:v>7.0830657134132835E-2</c:v>
                </c:pt>
                <c:pt idx="84">
                  <c:v>9.9259789624419614E-2</c:v>
                </c:pt>
                <c:pt idx="85">
                  <c:v>8.2412896296842231E-2</c:v>
                </c:pt>
                <c:pt idx="86">
                  <c:v>8.2412896296842231E-2</c:v>
                </c:pt>
                <c:pt idx="87">
                  <c:v>9.8206858791445972E-2</c:v>
                </c:pt>
                <c:pt idx="88">
                  <c:v>0.11084202878712923</c:v>
                </c:pt>
                <c:pt idx="89">
                  <c:v>0.116106682951997</c:v>
                </c:pt>
                <c:pt idx="90">
                  <c:v>0.12137133711686499</c:v>
                </c:pt>
                <c:pt idx="91">
                  <c:v>0.13190064544660074</c:v>
                </c:pt>
                <c:pt idx="92">
                  <c:v>0.13716529961146873</c:v>
                </c:pt>
                <c:pt idx="93">
                  <c:v>0.13190064544660074</c:v>
                </c:pt>
                <c:pt idx="94">
                  <c:v>0.12874185294768004</c:v>
                </c:pt>
                <c:pt idx="95">
                  <c:v>0.10347151295631396</c:v>
                </c:pt>
                <c:pt idx="96">
                  <c:v>9.9259789624419614E-2</c:v>
                </c:pt>
                <c:pt idx="97">
                  <c:v>9.0836342960630923E-2</c:v>
                </c:pt>
                <c:pt idx="98">
                  <c:v>8.5571688795763157E-2</c:v>
                </c:pt>
                <c:pt idx="99">
                  <c:v>7.0830657134132835E-2</c:v>
                </c:pt>
                <c:pt idx="100">
                  <c:v>7.6095311299000823E-2</c:v>
                </c:pt>
                <c:pt idx="101">
                  <c:v>9.2942204626578206E-2</c:v>
                </c:pt>
                <c:pt idx="102">
                  <c:v>5.082497130763497E-2</c:v>
                </c:pt>
                <c:pt idx="103">
                  <c:v>7.2936518800080119E-2</c:v>
                </c:pt>
                <c:pt idx="104">
                  <c:v>7.8201172964948107E-2</c:v>
                </c:pt>
                <c:pt idx="105">
                  <c:v>6.3460141303317785E-2</c:v>
                </c:pt>
                <c:pt idx="106">
                  <c:v>8.0307034630895169E-2</c:v>
                </c:pt>
                <c:pt idx="107">
                  <c:v>8.8730481294683861E-2</c:v>
                </c:pt>
                <c:pt idx="108">
                  <c:v>0.116106682951997</c:v>
                </c:pt>
                <c:pt idx="109">
                  <c:v>0.12242426794983841</c:v>
                </c:pt>
                <c:pt idx="110">
                  <c:v>0.10873616712118195</c:v>
                </c:pt>
                <c:pt idx="111">
                  <c:v>9.8206858791445972E-2</c:v>
                </c:pt>
                <c:pt idx="112">
                  <c:v>0.11821254461794406</c:v>
                </c:pt>
                <c:pt idx="113">
                  <c:v>9.7153927958472552E-2</c:v>
                </c:pt>
                <c:pt idx="114">
                  <c:v>9.8206858791445972E-2</c:v>
                </c:pt>
                <c:pt idx="115">
                  <c:v>0.11505375211902336</c:v>
                </c:pt>
                <c:pt idx="116">
                  <c:v>0.13190064544660074</c:v>
                </c:pt>
                <c:pt idx="117">
                  <c:v>0.12979478378065368</c:v>
                </c:pt>
                <c:pt idx="118">
                  <c:v>0.10347151295631396</c:v>
                </c:pt>
                <c:pt idx="119">
                  <c:v>0.1192654754509177</c:v>
                </c:pt>
                <c:pt idx="120">
                  <c:v>0.13716529961146873</c:v>
                </c:pt>
                <c:pt idx="121">
                  <c:v>0.14242995377633649</c:v>
                </c:pt>
                <c:pt idx="122">
                  <c:v>0.19507649542501571</c:v>
                </c:pt>
                <c:pt idx="123">
                  <c:v>0.239299590409906</c:v>
                </c:pt>
                <c:pt idx="124">
                  <c:v>0.24351131374180035</c:v>
                </c:pt>
                <c:pt idx="125">
                  <c:v>0.22034683541638156</c:v>
                </c:pt>
                <c:pt idx="126">
                  <c:v>0.22982321291314389</c:v>
                </c:pt>
                <c:pt idx="127">
                  <c:v>0.24561717540774763</c:v>
                </c:pt>
                <c:pt idx="128">
                  <c:v>0.25404062207153633</c:v>
                </c:pt>
                <c:pt idx="129">
                  <c:v>0.24035252124287965</c:v>
                </c:pt>
                <c:pt idx="130">
                  <c:v>0.25088182957261562</c:v>
                </c:pt>
                <c:pt idx="131">
                  <c:v>0.2182409737504345</c:v>
                </c:pt>
                <c:pt idx="132">
                  <c:v>0.18349425626230631</c:v>
                </c:pt>
                <c:pt idx="133">
                  <c:v>0.17401787876554398</c:v>
                </c:pt>
                <c:pt idx="134">
                  <c:v>0.17507080959851762</c:v>
                </c:pt>
                <c:pt idx="135">
                  <c:v>0.19086477209312136</c:v>
                </c:pt>
                <c:pt idx="136">
                  <c:v>0.17822960209743832</c:v>
                </c:pt>
                <c:pt idx="137">
                  <c:v>0.19823528792393641</c:v>
                </c:pt>
                <c:pt idx="138">
                  <c:v>0.18560011792825337</c:v>
                </c:pt>
                <c:pt idx="139">
                  <c:v>0.20771166542069874</c:v>
                </c:pt>
                <c:pt idx="140">
                  <c:v>0.18770597959420043</c:v>
                </c:pt>
                <c:pt idx="141">
                  <c:v>0.16664736293472893</c:v>
                </c:pt>
                <c:pt idx="142">
                  <c:v>0.14453581544228356</c:v>
                </c:pt>
                <c:pt idx="143">
                  <c:v>0.16559443210175528</c:v>
                </c:pt>
                <c:pt idx="144">
                  <c:v>0.13927116127741579</c:v>
                </c:pt>
                <c:pt idx="145">
                  <c:v>0.15295926210607225</c:v>
                </c:pt>
                <c:pt idx="146">
                  <c:v>0.16454150126878186</c:v>
                </c:pt>
                <c:pt idx="147">
                  <c:v>0.18033546376338561</c:v>
                </c:pt>
                <c:pt idx="148">
                  <c:v>0.18770597959420043</c:v>
                </c:pt>
                <c:pt idx="149">
                  <c:v>0.191917702926095</c:v>
                </c:pt>
                <c:pt idx="150">
                  <c:v>0.17296494793257056</c:v>
                </c:pt>
                <c:pt idx="151">
                  <c:v>0.18454718709527973</c:v>
                </c:pt>
                <c:pt idx="152">
                  <c:v>0.20455287292177782</c:v>
                </c:pt>
                <c:pt idx="153">
                  <c:v>0.20455287292177782</c:v>
                </c:pt>
                <c:pt idx="154">
                  <c:v>0.20455287292177782</c:v>
                </c:pt>
                <c:pt idx="155">
                  <c:v>0.2066587345877251</c:v>
                </c:pt>
                <c:pt idx="156">
                  <c:v>0.21929390458340792</c:v>
                </c:pt>
                <c:pt idx="157">
                  <c:v>0.20981752708664581</c:v>
                </c:pt>
                <c:pt idx="158">
                  <c:v>0.19297063375906842</c:v>
                </c:pt>
                <c:pt idx="159">
                  <c:v>0.2361407979109853</c:v>
                </c:pt>
                <c:pt idx="160">
                  <c:v>0.24456424457477399</c:v>
                </c:pt>
                <c:pt idx="161">
                  <c:v>0.24667010624072105</c:v>
                </c:pt>
                <c:pt idx="162">
                  <c:v>0.25404062207153633</c:v>
                </c:pt>
                <c:pt idx="163">
                  <c:v>0.2329820054120646</c:v>
                </c:pt>
                <c:pt idx="164">
                  <c:v>0.239299590409906</c:v>
                </c:pt>
                <c:pt idx="165">
                  <c:v>0.23403493624503824</c:v>
                </c:pt>
                <c:pt idx="166">
                  <c:v>0.22350562791530226</c:v>
                </c:pt>
                <c:pt idx="167">
                  <c:v>0.22982321291314389</c:v>
                </c:pt>
                <c:pt idx="168">
                  <c:v>0.2361407979109853</c:v>
                </c:pt>
                <c:pt idx="169">
                  <c:v>0.23087614374611731</c:v>
                </c:pt>
                <c:pt idx="170">
                  <c:v>0.20981752708664581</c:v>
                </c:pt>
                <c:pt idx="171">
                  <c:v>0.20244701125583076</c:v>
                </c:pt>
                <c:pt idx="172">
                  <c:v>0.23824665957693258</c:v>
                </c:pt>
                <c:pt idx="173">
                  <c:v>0.22982321291314389</c:v>
                </c:pt>
                <c:pt idx="174">
                  <c:v>0.22982321291314389</c:v>
                </c:pt>
                <c:pt idx="175">
                  <c:v>0.22245269708232862</c:v>
                </c:pt>
                <c:pt idx="176">
                  <c:v>0.22771735124719661</c:v>
                </c:pt>
                <c:pt idx="177">
                  <c:v>0.2361407979109853</c:v>
                </c:pt>
                <c:pt idx="178">
                  <c:v>0.22350562791530226</c:v>
                </c:pt>
                <c:pt idx="179">
                  <c:v>0.22771735124719661</c:v>
                </c:pt>
                <c:pt idx="180">
                  <c:v>0.23508786707801188</c:v>
                </c:pt>
                <c:pt idx="181">
                  <c:v>0.2245585587482759</c:v>
                </c:pt>
                <c:pt idx="182">
                  <c:v>0.22350562791530226</c:v>
                </c:pt>
                <c:pt idx="183">
                  <c:v>0.26456993040127208</c:v>
                </c:pt>
                <c:pt idx="184">
                  <c:v>0.27299337706506077</c:v>
                </c:pt>
                <c:pt idx="185">
                  <c:v>0.25930527623640431</c:v>
                </c:pt>
                <c:pt idx="186">
                  <c:v>0.29194613205858522</c:v>
                </c:pt>
                <c:pt idx="187">
                  <c:v>0.28668147789371723</c:v>
                </c:pt>
                <c:pt idx="188">
                  <c:v>0.33406336537752845</c:v>
                </c:pt>
                <c:pt idx="189">
                  <c:v>0.33722215787644916</c:v>
                </c:pt>
                <c:pt idx="190">
                  <c:v>0.25509355290450975</c:v>
                </c:pt>
                <c:pt idx="191">
                  <c:v>0.2361407979109853</c:v>
                </c:pt>
                <c:pt idx="192">
                  <c:v>0.21087045791961945</c:v>
                </c:pt>
                <c:pt idx="193">
                  <c:v>0.20139408042285711</c:v>
                </c:pt>
                <c:pt idx="194">
                  <c:v>0.21508218125151357</c:v>
                </c:pt>
                <c:pt idx="195">
                  <c:v>0.22666442041422319</c:v>
                </c:pt>
                <c:pt idx="196">
                  <c:v>0.23824665957693258</c:v>
                </c:pt>
                <c:pt idx="197">
                  <c:v>0.2361407979109853</c:v>
                </c:pt>
                <c:pt idx="198">
                  <c:v>0.25509355290450975</c:v>
                </c:pt>
                <c:pt idx="199">
                  <c:v>0.26246406873532502</c:v>
                </c:pt>
                <c:pt idx="200">
                  <c:v>0.32248112621481906</c:v>
                </c:pt>
                <c:pt idx="201">
                  <c:v>0.30879302538616238</c:v>
                </c:pt>
                <c:pt idx="202">
                  <c:v>0.29931664788940027</c:v>
                </c:pt>
                <c:pt idx="203">
                  <c:v>0.45725627283543746</c:v>
                </c:pt>
                <c:pt idx="204">
                  <c:v>0.39618628452296978</c:v>
                </c:pt>
                <c:pt idx="205">
                  <c:v>0.38249818369431332</c:v>
                </c:pt>
                <c:pt idx="206">
                  <c:v>0.39408042285702272</c:v>
                </c:pt>
                <c:pt idx="207">
                  <c:v>0.37512766786349827</c:v>
                </c:pt>
                <c:pt idx="208">
                  <c:v>0.38249818369431332</c:v>
                </c:pt>
                <c:pt idx="209">
                  <c:v>0.36986301369863028</c:v>
                </c:pt>
                <c:pt idx="210">
                  <c:v>0.34669853537321127</c:v>
                </c:pt>
                <c:pt idx="211">
                  <c:v>0.38039232202836604</c:v>
                </c:pt>
                <c:pt idx="212">
                  <c:v>0.38144525286133968</c:v>
                </c:pt>
                <c:pt idx="213">
                  <c:v>0.39092163035810201</c:v>
                </c:pt>
                <c:pt idx="214">
                  <c:v>0.38565697619323402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9-4ABC-A4A8-CF6D1FEB3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852224"/>
        <c:axId val="1105850784"/>
      </c:lineChart>
      <c:dateAx>
        <c:axId val="1105852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50784"/>
        <c:crosses val="autoZero"/>
        <c:auto val="1"/>
        <c:lblOffset val="100"/>
        <c:baseTimeUnit val="days"/>
      </c:dateAx>
      <c:valAx>
        <c:axId val="11058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5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Calculated Columns  Rolling Volatility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Stocks'!$M$1:$M$15</c:f>
              <c:strCache>
                <c:ptCount val="15"/>
                <c:pt idx="0">
                  <c:v> Calculated Columns </c:v>
                </c:pt>
                <c:pt idx="1">
                  <c:v>Rolling Volatility</c:v>
                </c:pt>
                <c:pt idx="2">
                  <c:v>0.0%</c:v>
                </c:pt>
                <c:pt idx="3">
                  <c:v>2.4%</c:v>
                </c:pt>
                <c:pt idx="4">
                  <c:v>2.8%</c:v>
                </c:pt>
                <c:pt idx="5">
                  <c:v>1.1%</c:v>
                </c:pt>
                <c:pt idx="6">
                  <c:v>0.9%</c:v>
                </c:pt>
                <c:pt idx="7">
                  <c:v>0.0%</c:v>
                </c:pt>
                <c:pt idx="8">
                  <c:v>0.6%</c:v>
                </c:pt>
                <c:pt idx="9">
                  <c:v>1.3%</c:v>
                </c:pt>
                <c:pt idx="10">
                  <c:v>3.1%</c:v>
                </c:pt>
                <c:pt idx="11">
                  <c:v>3.7%</c:v>
                </c:pt>
                <c:pt idx="12">
                  <c:v>5.5%</c:v>
                </c:pt>
                <c:pt idx="13">
                  <c:v>8.1%</c:v>
                </c:pt>
                <c:pt idx="14">
                  <c:v>3.9%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Stocks'!$A$16:$A$219</c:f>
              <c:numCache>
                <c:formatCode>m/d/yyyy</c:formatCode>
                <c:ptCount val="204"/>
                <c:pt idx="0">
                  <c:v>45680</c:v>
                </c:pt>
                <c:pt idx="1">
                  <c:v>45681</c:v>
                </c:pt>
                <c:pt idx="2">
                  <c:v>45684</c:v>
                </c:pt>
                <c:pt idx="3">
                  <c:v>45685</c:v>
                </c:pt>
                <c:pt idx="4">
                  <c:v>45686</c:v>
                </c:pt>
                <c:pt idx="5">
                  <c:v>45687</c:v>
                </c:pt>
                <c:pt idx="6">
                  <c:v>45688</c:v>
                </c:pt>
                <c:pt idx="7">
                  <c:v>45691</c:v>
                </c:pt>
                <c:pt idx="8">
                  <c:v>45692</c:v>
                </c:pt>
                <c:pt idx="9">
                  <c:v>45693</c:v>
                </c:pt>
                <c:pt idx="10">
                  <c:v>45694</c:v>
                </c:pt>
                <c:pt idx="11">
                  <c:v>45695</c:v>
                </c:pt>
                <c:pt idx="12">
                  <c:v>45698</c:v>
                </c:pt>
                <c:pt idx="13">
                  <c:v>45699</c:v>
                </c:pt>
                <c:pt idx="14">
                  <c:v>45700</c:v>
                </c:pt>
                <c:pt idx="15">
                  <c:v>45701</c:v>
                </c:pt>
                <c:pt idx="16">
                  <c:v>45702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45712</c:v>
                </c:pt>
                <c:pt idx="22">
                  <c:v>45713</c:v>
                </c:pt>
                <c:pt idx="23">
                  <c:v>45714</c:v>
                </c:pt>
                <c:pt idx="24">
                  <c:v>45715</c:v>
                </c:pt>
                <c:pt idx="25">
                  <c:v>45716</c:v>
                </c:pt>
                <c:pt idx="26">
                  <c:v>45719</c:v>
                </c:pt>
                <c:pt idx="27">
                  <c:v>45720</c:v>
                </c:pt>
                <c:pt idx="28">
                  <c:v>45721</c:v>
                </c:pt>
                <c:pt idx="29">
                  <c:v>45722</c:v>
                </c:pt>
                <c:pt idx="30">
                  <c:v>45723</c:v>
                </c:pt>
                <c:pt idx="31">
                  <c:v>45726</c:v>
                </c:pt>
                <c:pt idx="32">
                  <c:v>45727</c:v>
                </c:pt>
                <c:pt idx="33">
                  <c:v>45728</c:v>
                </c:pt>
                <c:pt idx="34">
                  <c:v>45729</c:v>
                </c:pt>
                <c:pt idx="35">
                  <c:v>45730</c:v>
                </c:pt>
                <c:pt idx="36">
                  <c:v>45733</c:v>
                </c:pt>
                <c:pt idx="37">
                  <c:v>45734</c:v>
                </c:pt>
                <c:pt idx="38">
                  <c:v>45735</c:v>
                </c:pt>
                <c:pt idx="39">
                  <c:v>45736</c:v>
                </c:pt>
                <c:pt idx="40">
                  <c:v>45737</c:v>
                </c:pt>
                <c:pt idx="41">
                  <c:v>45740</c:v>
                </c:pt>
                <c:pt idx="42">
                  <c:v>45741</c:v>
                </c:pt>
                <c:pt idx="43">
                  <c:v>45742</c:v>
                </c:pt>
                <c:pt idx="44">
                  <c:v>45743</c:v>
                </c:pt>
                <c:pt idx="45">
                  <c:v>45744</c:v>
                </c:pt>
                <c:pt idx="46">
                  <c:v>45747</c:v>
                </c:pt>
                <c:pt idx="47">
                  <c:v>45748</c:v>
                </c:pt>
                <c:pt idx="48">
                  <c:v>45749</c:v>
                </c:pt>
                <c:pt idx="49">
                  <c:v>45750</c:v>
                </c:pt>
                <c:pt idx="50">
                  <c:v>45751</c:v>
                </c:pt>
                <c:pt idx="51">
                  <c:v>45754</c:v>
                </c:pt>
                <c:pt idx="52">
                  <c:v>45755</c:v>
                </c:pt>
                <c:pt idx="53">
                  <c:v>45756</c:v>
                </c:pt>
                <c:pt idx="54">
                  <c:v>45757</c:v>
                </c:pt>
                <c:pt idx="55">
                  <c:v>45758</c:v>
                </c:pt>
                <c:pt idx="56">
                  <c:v>45761</c:v>
                </c:pt>
                <c:pt idx="57">
                  <c:v>45762</c:v>
                </c:pt>
                <c:pt idx="58">
                  <c:v>45763</c:v>
                </c:pt>
                <c:pt idx="59">
                  <c:v>45764</c:v>
                </c:pt>
                <c:pt idx="60">
                  <c:v>45768</c:v>
                </c:pt>
                <c:pt idx="61">
                  <c:v>45769</c:v>
                </c:pt>
                <c:pt idx="62">
                  <c:v>45770</c:v>
                </c:pt>
                <c:pt idx="63">
                  <c:v>45771</c:v>
                </c:pt>
                <c:pt idx="64">
                  <c:v>45772</c:v>
                </c:pt>
                <c:pt idx="65">
                  <c:v>45775</c:v>
                </c:pt>
                <c:pt idx="66">
                  <c:v>45776</c:v>
                </c:pt>
                <c:pt idx="67">
                  <c:v>45777</c:v>
                </c:pt>
                <c:pt idx="68">
                  <c:v>45778</c:v>
                </c:pt>
                <c:pt idx="69">
                  <c:v>45779</c:v>
                </c:pt>
                <c:pt idx="70">
                  <c:v>45782</c:v>
                </c:pt>
                <c:pt idx="71">
                  <c:v>45783</c:v>
                </c:pt>
                <c:pt idx="72">
                  <c:v>45784</c:v>
                </c:pt>
                <c:pt idx="73">
                  <c:v>45785</c:v>
                </c:pt>
                <c:pt idx="74">
                  <c:v>45786</c:v>
                </c:pt>
                <c:pt idx="75">
                  <c:v>45789</c:v>
                </c:pt>
                <c:pt idx="76">
                  <c:v>45790</c:v>
                </c:pt>
                <c:pt idx="77">
                  <c:v>45791</c:v>
                </c:pt>
                <c:pt idx="78">
                  <c:v>45792</c:v>
                </c:pt>
                <c:pt idx="79">
                  <c:v>45793</c:v>
                </c:pt>
                <c:pt idx="80">
                  <c:v>45796</c:v>
                </c:pt>
                <c:pt idx="81">
                  <c:v>45797</c:v>
                </c:pt>
                <c:pt idx="82">
                  <c:v>45798</c:v>
                </c:pt>
                <c:pt idx="83">
                  <c:v>45799</c:v>
                </c:pt>
                <c:pt idx="84">
                  <c:v>45800</c:v>
                </c:pt>
                <c:pt idx="85">
                  <c:v>45804</c:v>
                </c:pt>
                <c:pt idx="86">
                  <c:v>45805</c:v>
                </c:pt>
                <c:pt idx="87">
                  <c:v>45806</c:v>
                </c:pt>
                <c:pt idx="88">
                  <c:v>45807</c:v>
                </c:pt>
                <c:pt idx="89">
                  <c:v>45810</c:v>
                </c:pt>
                <c:pt idx="90">
                  <c:v>45811</c:v>
                </c:pt>
                <c:pt idx="91">
                  <c:v>45812</c:v>
                </c:pt>
                <c:pt idx="92">
                  <c:v>45813</c:v>
                </c:pt>
                <c:pt idx="93">
                  <c:v>45814</c:v>
                </c:pt>
                <c:pt idx="94">
                  <c:v>45817</c:v>
                </c:pt>
                <c:pt idx="95">
                  <c:v>45818</c:v>
                </c:pt>
                <c:pt idx="96">
                  <c:v>45819</c:v>
                </c:pt>
                <c:pt idx="97">
                  <c:v>45820</c:v>
                </c:pt>
                <c:pt idx="98">
                  <c:v>45821</c:v>
                </c:pt>
                <c:pt idx="99">
                  <c:v>45824</c:v>
                </c:pt>
                <c:pt idx="100">
                  <c:v>45825</c:v>
                </c:pt>
                <c:pt idx="101">
                  <c:v>45826</c:v>
                </c:pt>
                <c:pt idx="102">
                  <c:v>45828</c:v>
                </c:pt>
                <c:pt idx="103">
                  <c:v>45831</c:v>
                </c:pt>
                <c:pt idx="104">
                  <c:v>45832</c:v>
                </c:pt>
                <c:pt idx="105">
                  <c:v>45833</c:v>
                </c:pt>
                <c:pt idx="106">
                  <c:v>45834</c:v>
                </c:pt>
                <c:pt idx="107">
                  <c:v>45835</c:v>
                </c:pt>
                <c:pt idx="108">
                  <c:v>45838</c:v>
                </c:pt>
                <c:pt idx="109">
                  <c:v>45839</c:v>
                </c:pt>
                <c:pt idx="110">
                  <c:v>45840</c:v>
                </c:pt>
                <c:pt idx="111">
                  <c:v>45841</c:v>
                </c:pt>
                <c:pt idx="112">
                  <c:v>45845</c:v>
                </c:pt>
                <c:pt idx="113">
                  <c:v>45846</c:v>
                </c:pt>
                <c:pt idx="114">
                  <c:v>45847</c:v>
                </c:pt>
                <c:pt idx="115">
                  <c:v>45848</c:v>
                </c:pt>
                <c:pt idx="116">
                  <c:v>45849</c:v>
                </c:pt>
                <c:pt idx="117">
                  <c:v>45852</c:v>
                </c:pt>
                <c:pt idx="118">
                  <c:v>45853</c:v>
                </c:pt>
                <c:pt idx="119">
                  <c:v>45854</c:v>
                </c:pt>
                <c:pt idx="120">
                  <c:v>45855</c:v>
                </c:pt>
                <c:pt idx="121">
                  <c:v>45856</c:v>
                </c:pt>
                <c:pt idx="122">
                  <c:v>45859</c:v>
                </c:pt>
                <c:pt idx="123">
                  <c:v>45860</c:v>
                </c:pt>
                <c:pt idx="124">
                  <c:v>45861</c:v>
                </c:pt>
                <c:pt idx="125">
                  <c:v>45862</c:v>
                </c:pt>
                <c:pt idx="126">
                  <c:v>45863</c:v>
                </c:pt>
                <c:pt idx="127">
                  <c:v>45866</c:v>
                </c:pt>
                <c:pt idx="128">
                  <c:v>45867</c:v>
                </c:pt>
                <c:pt idx="129">
                  <c:v>45868</c:v>
                </c:pt>
                <c:pt idx="130">
                  <c:v>45869</c:v>
                </c:pt>
                <c:pt idx="131">
                  <c:v>45870</c:v>
                </c:pt>
                <c:pt idx="132">
                  <c:v>45873</c:v>
                </c:pt>
                <c:pt idx="133">
                  <c:v>45874</c:v>
                </c:pt>
                <c:pt idx="134">
                  <c:v>45875</c:v>
                </c:pt>
                <c:pt idx="135">
                  <c:v>45876</c:v>
                </c:pt>
                <c:pt idx="136">
                  <c:v>45877</c:v>
                </c:pt>
                <c:pt idx="137">
                  <c:v>45880</c:v>
                </c:pt>
                <c:pt idx="138">
                  <c:v>45881</c:v>
                </c:pt>
                <c:pt idx="139">
                  <c:v>45882</c:v>
                </c:pt>
                <c:pt idx="140">
                  <c:v>45883</c:v>
                </c:pt>
                <c:pt idx="141">
                  <c:v>45884</c:v>
                </c:pt>
                <c:pt idx="142">
                  <c:v>45887</c:v>
                </c:pt>
                <c:pt idx="143">
                  <c:v>45888</c:v>
                </c:pt>
                <c:pt idx="144">
                  <c:v>45889</c:v>
                </c:pt>
                <c:pt idx="145">
                  <c:v>45890</c:v>
                </c:pt>
                <c:pt idx="146">
                  <c:v>45891</c:v>
                </c:pt>
                <c:pt idx="147">
                  <c:v>45894</c:v>
                </c:pt>
                <c:pt idx="148">
                  <c:v>45895</c:v>
                </c:pt>
                <c:pt idx="149">
                  <c:v>45896</c:v>
                </c:pt>
                <c:pt idx="150">
                  <c:v>45897</c:v>
                </c:pt>
                <c:pt idx="151">
                  <c:v>45898</c:v>
                </c:pt>
                <c:pt idx="152">
                  <c:v>45902</c:v>
                </c:pt>
                <c:pt idx="153">
                  <c:v>45903</c:v>
                </c:pt>
                <c:pt idx="154">
                  <c:v>45904</c:v>
                </c:pt>
                <c:pt idx="155">
                  <c:v>45905</c:v>
                </c:pt>
                <c:pt idx="156">
                  <c:v>45908</c:v>
                </c:pt>
                <c:pt idx="157">
                  <c:v>45909</c:v>
                </c:pt>
                <c:pt idx="158">
                  <c:v>45910</c:v>
                </c:pt>
                <c:pt idx="159">
                  <c:v>45911</c:v>
                </c:pt>
                <c:pt idx="160">
                  <c:v>45912</c:v>
                </c:pt>
                <c:pt idx="161">
                  <c:v>45915</c:v>
                </c:pt>
                <c:pt idx="162">
                  <c:v>45916</c:v>
                </c:pt>
                <c:pt idx="163">
                  <c:v>45917</c:v>
                </c:pt>
                <c:pt idx="164">
                  <c:v>45918</c:v>
                </c:pt>
                <c:pt idx="165">
                  <c:v>45919</c:v>
                </c:pt>
                <c:pt idx="166">
                  <c:v>45922</c:v>
                </c:pt>
                <c:pt idx="167">
                  <c:v>45923</c:v>
                </c:pt>
                <c:pt idx="168">
                  <c:v>45924</c:v>
                </c:pt>
                <c:pt idx="169">
                  <c:v>45925</c:v>
                </c:pt>
                <c:pt idx="170">
                  <c:v>45926</c:v>
                </c:pt>
                <c:pt idx="171">
                  <c:v>45929</c:v>
                </c:pt>
                <c:pt idx="172">
                  <c:v>45930</c:v>
                </c:pt>
                <c:pt idx="173">
                  <c:v>45931</c:v>
                </c:pt>
                <c:pt idx="174">
                  <c:v>45932</c:v>
                </c:pt>
                <c:pt idx="175">
                  <c:v>45933</c:v>
                </c:pt>
                <c:pt idx="176">
                  <c:v>45936</c:v>
                </c:pt>
                <c:pt idx="177">
                  <c:v>45937</c:v>
                </c:pt>
                <c:pt idx="178">
                  <c:v>45938</c:v>
                </c:pt>
                <c:pt idx="179">
                  <c:v>45939</c:v>
                </c:pt>
                <c:pt idx="180">
                  <c:v>45940</c:v>
                </c:pt>
                <c:pt idx="181">
                  <c:v>45943</c:v>
                </c:pt>
                <c:pt idx="182">
                  <c:v>45944</c:v>
                </c:pt>
                <c:pt idx="183">
                  <c:v>45945</c:v>
                </c:pt>
                <c:pt idx="184">
                  <c:v>45946</c:v>
                </c:pt>
                <c:pt idx="185">
                  <c:v>45947</c:v>
                </c:pt>
                <c:pt idx="186">
                  <c:v>45950</c:v>
                </c:pt>
                <c:pt idx="187">
                  <c:v>45951</c:v>
                </c:pt>
                <c:pt idx="188">
                  <c:v>45952</c:v>
                </c:pt>
                <c:pt idx="189">
                  <c:v>45953</c:v>
                </c:pt>
                <c:pt idx="190">
                  <c:v>45954</c:v>
                </c:pt>
                <c:pt idx="191">
                  <c:v>45957</c:v>
                </c:pt>
                <c:pt idx="192">
                  <c:v>45958</c:v>
                </c:pt>
                <c:pt idx="193">
                  <c:v>45959</c:v>
                </c:pt>
                <c:pt idx="194">
                  <c:v>45960</c:v>
                </c:pt>
                <c:pt idx="195">
                  <c:v>45961</c:v>
                </c:pt>
                <c:pt idx="196">
                  <c:v>45964</c:v>
                </c:pt>
                <c:pt idx="197">
                  <c:v>45965</c:v>
                </c:pt>
                <c:pt idx="198">
                  <c:v>45966</c:v>
                </c:pt>
                <c:pt idx="199">
                  <c:v>45967</c:v>
                </c:pt>
                <c:pt idx="200">
                  <c:v>45968</c:v>
                </c:pt>
                <c:pt idx="201">
                  <c:v>45971</c:v>
                </c:pt>
                <c:pt idx="202">
                  <c:v>45972</c:v>
                </c:pt>
                <c:pt idx="203">
                  <c:v>45973</c:v>
                </c:pt>
              </c:numCache>
            </c:numRef>
          </c:cat>
          <c:val>
            <c:numRef>
              <c:f>'US Stocks'!$M$16:$M$219</c:f>
              <c:numCache>
                <c:formatCode>General</c:formatCode>
                <c:ptCount val="204"/>
                <c:pt idx="0">
                  <c:v>2.2762653276027341E-2</c:v>
                </c:pt>
                <c:pt idx="1">
                  <c:v>2.1961935587724808E-2</c:v>
                </c:pt>
                <c:pt idx="2">
                  <c:v>2.4609077182732395E-2</c:v>
                </c:pt>
                <c:pt idx="3">
                  <c:v>2.4644651315805156E-2</c:v>
                </c:pt>
                <c:pt idx="4">
                  <c:v>2.4226092459197768E-2</c:v>
                </c:pt>
                <c:pt idx="5">
                  <c:v>2.2917924508355472E-2</c:v>
                </c:pt>
                <c:pt idx="6">
                  <c:v>1.9646096362973139E-2</c:v>
                </c:pt>
                <c:pt idx="7">
                  <c:v>1.7428135832649138E-2</c:v>
                </c:pt>
                <c:pt idx="8">
                  <c:v>1.4749855777309714E-2</c:v>
                </c:pt>
                <c:pt idx="9">
                  <c:v>1.4263009662142632E-2</c:v>
                </c:pt>
                <c:pt idx="10">
                  <c:v>2.7362759521595312E-2</c:v>
                </c:pt>
                <c:pt idx="11">
                  <c:v>3.5170593136310234E-2</c:v>
                </c:pt>
                <c:pt idx="12">
                  <c:v>3.8574585488853223E-2</c:v>
                </c:pt>
                <c:pt idx="13">
                  <c:v>4.2908259115257703E-2</c:v>
                </c:pt>
                <c:pt idx="14">
                  <c:v>4.5226111801955869E-2</c:v>
                </c:pt>
                <c:pt idx="15">
                  <c:v>4.5777581825483575E-2</c:v>
                </c:pt>
                <c:pt idx="16">
                  <c:v>4.2457912868067271E-2</c:v>
                </c:pt>
                <c:pt idx="17">
                  <c:v>4.1322143475304711E-2</c:v>
                </c:pt>
                <c:pt idx="18">
                  <c:v>3.8040270088288315E-2</c:v>
                </c:pt>
                <c:pt idx="19">
                  <c:v>3.4311351614401783E-2</c:v>
                </c:pt>
                <c:pt idx="20">
                  <c:v>3.07269046023156E-2</c:v>
                </c:pt>
                <c:pt idx="21">
                  <c:v>2.8598554381136367E-2</c:v>
                </c:pt>
                <c:pt idx="22">
                  <c:v>2.101306930780553E-2</c:v>
                </c:pt>
                <c:pt idx="23">
                  <c:v>1.4227958680032805E-2</c:v>
                </c:pt>
                <c:pt idx="24">
                  <c:v>1.3665852435447464E-2</c:v>
                </c:pt>
                <c:pt idx="25">
                  <c:v>1.4721235856080565E-2</c:v>
                </c:pt>
                <c:pt idx="26">
                  <c:v>1.3639310533354803E-2</c:v>
                </c:pt>
                <c:pt idx="27">
                  <c:v>1.2881823034698018E-2</c:v>
                </c:pt>
                <c:pt idx="28">
                  <c:v>1.3721580380284534E-2</c:v>
                </c:pt>
                <c:pt idx="29">
                  <c:v>1.439232566816471E-2</c:v>
                </c:pt>
                <c:pt idx="30">
                  <c:v>1.9763464739750283E-2</c:v>
                </c:pt>
                <c:pt idx="31">
                  <c:v>2.3871593081727774E-2</c:v>
                </c:pt>
                <c:pt idx="32">
                  <c:v>2.4131419743223574E-2</c:v>
                </c:pt>
                <c:pt idx="33">
                  <c:v>2.3985650424172705E-2</c:v>
                </c:pt>
                <c:pt idx="34">
                  <c:v>2.2946123483234483E-2</c:v>
                </c:pt>
                <c:pt idx="35">
                  <c:v>2.2805180001823019E-2</c:v>
                </c:pt>
                <c:pt idx="36">
                  <c:v>2.4282720520671989E-2</c:v>
                </c:pt>
                <c:pt idx="37">
                  <c:v>2.5695193267689011E-2</c:v>
                </c:pt>
                <c:pt idx="38">
                  <c:v>2.7383225804918771E-2</c:v>
                </c:pt>
                <c:pt idx="39">
                  <c:v>2.8253099017612891E-2</c:v>
                </c:pt>
                <c:pt idx="40">
                  <c:v>2.7264917717720185E-2</c:v>
                </c:pt>
                <c:pt idx="41">
                  <c:v>2.2641385834271919E-2</c:v>
                </c:pt>
                <c:pt idx="42">
                  <c:v>2.4632409695388536E-2</c:v>
                </c:pt>
                <c:pt idx="43">
                  <c:v>2.5296850809698727E-2</c:v>
                </c:pt>
                <c:pt idx="44">
                  <c:v>2.5296850809698717E-2</c:v>
                </c:pt>
                <c:pt idx="45">
                  <c:v>2.604253222630647E-2</c:v>
                </c:pt>
                <c:pt idx="46">
                  <c:v>2.5156036357212835E-2</c:v>
                </c:pt>
                <c:pt idx="47">
                  <c:v>2.2798730222184906E-2</c:v>
                </c:pt>
                <c:pt idx="48">
                  <c:v>1.8951561156794108E-2</c:v>
                </c:pt>
                <c:pt idx="49">
                  <c:v>2.1787486587680482E-2</c:v>
                </c:pt>
                <c:pt idx="50">
                  <c:v>2.4684367062202912E-2</c:v>
                </c:pt>
                <c:pt idx="51">
                  <c:v>3.1977683419592388E-2</c:v>
                </c:pt>
                <c:pt idx="52">
                  <c:v>4.5688423710250253E-2</c:v>
                </c:pt>
                <c:pt idx="53">
                  <c:v>4.6200152526378706E-2</c:v>
                </c:pt>
                <c:pt idx="54">
                  <c:v>4.8980457784217765E-2</c:v>
                </c:pt>
                <c:pt idx="55">
                  <c:v>4.7633884953719133E-2</c:v>
                </c:pt>
                <c:pt idx="56">
                  <c:v>4.4100453928556181E-2</c:v>
                </c:pt>
                <c:pt idx="57">
                  <c:v>3.9614983214253316E-2</c:v>
                </c:pt>
                <c:pt idx="58">
                  <c:v>3.8580561464052067E-2</c:v>
                </c:pt>
                <c:pt idx="59">
                  <c:v>3.8305781528880423E-2</c:v>
                </c:pt>
                <c:pt idx="60">
                  <c:v>3.5337909393073949E-2</c:v>
                </c:pt>
                <c:pt idx="61">
                  <c:v>3.3180876615914547E-2</c:v>
                </c:pt>
                <c:pt idx="62">
                  <c:v>2.82660093678322E-2</c:v>
                </c:pt>
                <c:pt idx="63">
                  <c:v>3.291051293017408E-2</c:v>
                </c:pt>
                <c:pt idx="64">
                  <c:v>3.6279993432699456E-2</c:v>
                </c:pt>
                <c:pt idx="65">
                  <c:v>3.787453316479622E-2</c:v>
                </c:pt>
                <c:pt idx="66">
                  <c:v>3.1388257781196111E-2</c:v>
                </c:pt>
                <c:pt idx="67">
                  <c:v>3.2280846264544215E-2</c:v>
                </c:pt>
                <c:pt idx="68">
                  <c:v>3.0170854788818889E-2</c:v>
                </c:pt>
                <c:pt idx="69">
                  <c:v>3.0019082581455431E-2</c:v>
                </c:pt>
                <c:pt idx="70">
                  <c:v>3.0957851162150964E-2</c:v>
                </c:pt>
                <c:pt idx="71">
                  <c:v>3.1752598174379608E-2</c:v>
                </c:pt>
                <c:pt idx="72">
                  <c:v>2.8514956481730108E-2</c:v>
                </c:pt>
                <c:pt idx="73">
                  <c:v>2.7039093255460136E-2</c:v>
                </c:pt>
                <c:pt idx="74">
                  <c:v>2.2693415131147657E-2</c:v>
                </c:pt>
                <c:pt idx="75">
                  <c:v>2.077262509051717E-2</c:v>
                </c:pt>
                <c:pt idx="76">
                  <c:v>1.9812631218701238E-2</c:v>
                </c:pt>
                <c:pt idx="77">
                  <c:v>2.1717146100139872E-2</c:v>
                </c:pt>
                <c:pt idx="78">
                  <c:v>2.3655580895052725E-2</c:v>
                </c:pt>
                <c:pt idx="79">
                  <c:v>2.4677950002128652E-2</c:v>
                </c:pt>
                <c:pt idx="80">
                  <c:v>2.5262392516171486E-2</c:v>
                </c:pt>
                <c:pt idx="81">
                  <c:v>2.2902696654631863E-2</c:v>
                </c:pt>
                <c:pt idx="82">
                  <c:v>2.104141892964562E-2</c:v>
                </c:pt>
                <c:pt idx="83">
                  <c:v>2.0063846116304507E-2</c:v>
                </c:pt>
                <c:pt idx="84">
                  <c:v>1.7958032559490827E-2</c:v>
                </c:pt>
                <c:pt idx="85">
                  <c:v>1.8843205769190272E-2</c:v>
                </c:pt>
                <c:pt idx="86">
                  <c:v>2.0180925156434413E-2</c:v>
                </c:pt>
                <c:pt idx="87">
                  <c:v>2.0803644458355083E-2</c:v>
                </c:pt>
                <c:pt idx="88">
                  <c:v>2.1011289031299743E-2</c:v>
                </c:pt>
                <c:pt idx="89">
                  <c:v>2.5433327550901854E-2</c:v>
                </c:pt>
                <c:pt idx="90">
                  <c:v>2.6219060767763629E-2</c:v>
                </c:pt>
                <c:pt idx="91">
                  <c:v>2.601036671903063E-2</c:v>
                </c:pt>
                <c:pt idx="92">
                  <c:v>2.5315514754880454E-2</c:v>
                </c:pt>
                <c:pt idx="93">
                  <c:v>2.2024912605505171E-2</c:v>
                </c:pt>
                <c:pt idx="94">
                  <c:v>1.8304323059208826E-2</c:v>
                </c:pt>
                <c:pt idx="95">
                  <c:v>1.6299619435073569E-2</c:v>
                </c:pt>
                <c:pt idx="96">
                  <c:v>1.8532809655298146E-2</c:v>
                </c:pt>
                <c:pt idx="97">
                  <c:v>1.9205939991101623E-2</c:v>
                </c:pt>
                <c:pt idx="98">
                  <c:v>1.9442597652802592E-2</c:v>
                </c:pt>
                <c:pt idx="99">
                  <c:v>2.1124054560309368E-2</c:v>
                </c:pt>
                <c:pt idx="100">
                  <c:v>2.0639861627949684E-2</c:v>
                </c:pt>
                <c:pt idx="101">
                  <c:v>2.0335472098204684E-2</c:v>
                </c:pt>
                <c:pt idx="102">
                  <c:v>2.1196363323468095E-2</c:v>
                </c:pt>
                <c:pt idx="103">
                  <c:v>1.9782774291699723E-2</c:v>
                </c:pt>
                <c:pt idx="104">
                  <c:v>1.9798208373535225E-2</c:v>
                </c:pt>
                <c:pt idx="105">
                  <c:v>1.8537539845765401E-2</c:v>
                </c:pt>
                <c:pt idx="106">
                  <c:v>1.476576093306808E-2</c:v>
                </c:pt>
                <c:pt idx="107">
                  <c:v>1.4088258228530824E-2</c:v>
                </c:pt>
                <c:pt idx="108">
                  <c:v>1.4220732869701061E-2</c:v>
                </c:pt>
                <c:pt idx="109">
                  <c:v>2.4610469851071154E-2</c:v>
                </c:pt>
                <c:pt idx="110">
                  <c:v>3.8831918517767523E-2</c:v>
                </c:pt>
                <c:pt idx="111">
                  <c:v>4.7791973554340297E-2</c:v>
                </c:pt>
                <c:pt idx="112">
                  <c:v>5.0332979830202455E-2</c:v>
                </c:pt>
                <c:pt idx="113">
                  <c:v>5.3508687495507204E-2</c:v>
                </c:pt>
                <c:pt idx="114">
                  <c:v>5.5217848971394687E-2</c:v>
                </c:pt>
                <c:pt idx="115">
                  <c:v>5.5745956100143691E-2</c:v>
                </c:pt>
                <c:pt idx="116">
                  <c:v>5.4802175890131546E-2</c:v>
                </c:pt>
                <c:pt idx="117">
                  <c:v>5.466788252858891E-2</c:v>
                </c:pt>
                <c:pt idx="118">
                  <c:v>5.1619094569838E-2</c:v>
                </c:pt>
                <c:pt idx="119">
                  <c:v>4.4198338041069228E-2</c:v>
                </c:pt>
                <c:pt idx="120">
                  <c:v>3.8132028063721443E-2</c:v>
                </c:pt>
                <c:pt idx="121">
                  <c:v>3.3788755704170684E-2</c:v>
                </c:pt>
                <c:pt idx="122">
                  <c:v>2.8179025724734547E-2</c:v>
                </c:pt>
                <c:pt idx="123">
                  <c:v>2.9487914490156173E-2</c:v>
                </c:pt>
                <c:pt idx="124">
                  <c:v>2.9206026733834628E-2</c:v>
                </c:pt>
                <c:pt idx="125">
                  <c:v>2.8900848440809659E-2</c:v>
                </c:pt>
                <c:pt idx="126">
                  <c:v>2.8771383915221511E-2</c:v>
                </c:pt>
                <c:pt idx="127">
                  <c:v>2.8684749611294399E-2</c:v>
                </c:pt>
                <c:pt idx="128">
                  <c:v>2.8184946710719784E-2</c:v>
                </c:pt>
                <c:pt idx="129">
                  <c:v>2.7508942530094432E-2</c:v>
                </c:pt>
                <c:pt idx="130">
                  <c:v>2.4927898930289034E-2</c:v>
                </c:pt>
                <c:pt idx="131">
                  <c:v>2.0955353536263339E-2</c:v>
                </c:pt>
                <c:pt idx="132">
                  <c:v>1.9025586028990685E-2</c:v>
                </c:pt>
                <c:pt idx="133">
                  <c:v>1.9046980125835444E-2</c:v>
                </c:pt>
                <c:pt idx="134">
                  <c:v>1.9125220395975168E-2</c:v>
                </c:pt>
                <c:pt idx="135">
                  <c:v>1.9445506740656513E-2</c:v>
                </c:pt>
                <c:pt idx="136">
                  <c:v>1.9508672077824307E-2</c:v>
                </c:pt>
                <c:pt idx="137">
                  <c:v>1.9494894816525478E-2</c:v>
                </c:pt>
                <c:pt idx="138">
                  <c:v>1.8613059408774429E-2</c:v>
                </c:pt>
                <c:pt idx="139">
                  <c:v>2.0061026695226573E-2</c:v>
                </c:pt>
                <c:pt idx="140">
                  <c:v>1.9707288292438587E-2</c:v>
                </c:pt>
                <c:pt idx="141">
                  <c:v>2.0932126819444914E-2</c:v>
                </c:pt>
                <c:pt idx="142">
                  <c:v>2.2149503309465732E-2</c:v>
                </c:pt>
                <c:pt idx="143">
                  <c:v>2.2230946124694534E-2</c:v>
                </c:pt>
                <c:pt idx="144">
                  <c:v>2.2496521983950656E-2</c:v>
                </c:pt>
                <c:pt idx="145">
                  <c:v>1.8113589579377851E-2</c:v>
                </c:pt>
                <c:pt idx="146">
                  <c:v>1.8224265699251629E-2</c:v>
                </c:pt>
                <c:pt idx="147">
                  <c:v>1.9588533488122416E-2</c:v>
                </c:pt>
                <c:pt idx="148">
                  <c:v>2.1488430009168061E-2</c:v>
                </c:pt>
                <c:pt idx="149">
                  <c:v>2.3764248976784919E-2</c:v>
                </c:pt>
                <c:pt idx="150">
                  <c:v>2.3591890098491459E-2</c:v>
                </c:pt>
                <c:pt idx="151">
                  <c:v>2.1146535506530412E-2</c:v>
                </c:pt>
                <c:pt idx="152">
                  <c:v>1.893797596707333E-2</c:v>
                </c:pt>
                <c:pt idx="153">
                  <c:v>1.819211301735494E-2</c:v>
                </c:pt>
                <c:pt idx="154">
                  <c:v>1.7312694656928529E-2</c:v>
                </c:pt>
                <c:pt idx="155">
                  <c:v>1.6303089358780283E-2</c:v>
                </c:pt>
                <c:pt idx="156">
                  <c:v>1.5080177027972702E-2</c:v>
                </c:pt>
                <c:pt idx="157">
                  <c:v>1.5774790382156297E-2</c:v>
                </c:pt>
                <c:pt idx="158">
                  <c:v>1.6545372211280548E-2</c:v>
                </c:pt>
                <c:pt idx="159">
                  <c:v>1.3164213765742666E-2</c:v>
                </c:pt>
                <c:pt idx="160">
                  <c:v>1.3148736060414503E-2</c:v>
                </c:pt>
                <c:pt idx="161">
                  <c:v>1.270770890609998E-2</c:v>
                </c:pt>
                <c:pt idx="162">
                  <c:v>1.2126209630663369E-2</c:v>
                </c:pt>
                <c:pt idx="163">
                  <c:v>1.0040095476005043E-2</c:v>
                </c:pt>
                <c:pt idx="164">
                  <c:v>1.0191906942866421E-2</c:v>
                </c:pt>
                <c:pt idx="165">
                  <c:v>9.7276245077690844E-3</c:v>
                </c:pt>
                <c:pt idx="166">
                  <c:v>9.5231188389877999E-3</c:v>
                </c:pt>
                <c:pt idx="167">
                  <c:v>9.7459240012124186E-3</c:v>
                </c:pt>
                <c:pt idx="168">
                  <c:v>9.7357618623892771E-3</c:v>
                </c:pt>
                <c:pt idx="169">
                  <c:v>9.4023714240687312E-3</c:v>
                </c:pt>
                <c:pt idx="170">
                  <c:v>1.3709778666493238E-2</c:v>
                </c:pt>
                <c:pt idx="171">
                  <c:v>1.6922771187097778E-2</c:v>
                </c:pt>
                <c:pt idx="172">
                  <c:v>1.5956615747720306E-2</c:v>
                </c:pt>
                <c:pt idx="173">
                  <c:v>2.1373749624859537E-2</c:v>
                </c:pt>
                <c:pt idx="174">
                  <c:v>2.4151452772503867E-2</c:v>
                </c:pt>
                <c:pt idx="175">
                  <c:v>3.2897447949572736E-2</c:v>
                </c:pt>
                <c:pt idx="176">
                  <c:v>3.832519463398746E-2</c:v>
                </c:pt>
                <c:pt idx="177">
                  <c:v>3.7294432872276517E-2</c:v>
                </c:pt>
                <c:pt idx="178">
                  <c:v>3.7294432872276399E-2</c:v>
                </c:pt>
                <c:pt idx="179">
                  <c:v>3.8360305158354362E-2</c:v>
                </c:pt>
                <c:pt idx="180">
                  <c:v>4.0548440339971584E-2</c:v>
                </c:pt>
                <c:pt idx="181">
                  <c:v>4.1720244683955014E-2</c:v>
                </c:pt>
                <c:pt idx="182">
                  <c:v>4.1602666413311576E-2</c:v>
                </c:pt>
                <c:pt idx="183">
                  <c:v>4.0890374120676136E-2</c:v>
                </c:pt>
                <c:pt idx="184">
                  <c:v>4.1282532218282653E-2</c:v>
                </c:pt>
                <c:pt idx="185">
                  <c:v>4.1052454616195284E-2</c:v>
                </c:pt>
                <c:pt idx="186">
                  <c:v>4.1078694426565573E-2</c:v>
                </c:pt>
                <c:pt idx="187">
                  <c:v>4.3647865149352059E-2</c:v>
                </c:pt>
                <c:pt idx="188">
                  <c:v>4.5021007583045905E-2</c:v>
                </c:pt>
                <c:pt idx="189">
                  <c:v>4.1704243133352616E-2</c:v>
                </c:pt>
                <c:pt idx="190">
                  <c:v>6.373334168354132E-2</c:v>
                </c:pt>
                <c:pt idx="191">
                  <c:v>7.184000434051413E-2</c:v>
                </c:pt>
                <c:pt idx="192">
                  <c:v>7.579687959690623E-2</c:v>
                </c:pt>
                <c:pt idx="193">
                  <c:v>7.7390270043934756E-2</c:v>
                </c:pt>
                <c:pt idx="194">
                  <c:v>7.4508589130072453E-2</c:v>
                </c:pt>
                <c:pt idx="195">
                  <c:v>7.1345291052074003E-2</c:v>
                </c:pt>
                <c:pt idx="196">
                  <c:v>6.6766797047457166E-2</c:v>
                </c:pt>
                <c:pt idx="197">
                  <c:v>6.1236666323809218E-2</c:v>
                </c:pt>
                <c:pt idx="198">
                  <c:v>5.4294323806173377E-2</c:v>
                </c:pt>
                <c:pt idx="199">
                  <c:v>4.7449468009678641E-2</c:v>
                </c:pt>
                <c:pt idx="200">
                  <c:v>3.9128018737137935E-2</c:v>
                </c:pt>
                <c:pt idx="201">
                  <c:v>3.6905111509767552E-2</c:v>
                </c:pt>
                <c:pt idx="202">
                  <c:v>3.3212361871574302E-2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9-4834-849C-D76A64726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047936"/>
        <c:axId val="1268716672"/>
      </c:lineChart>
      <c:dateAx>
        <c:axId val="1131047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16672"/>
        <c:crosses val="autoZero"/>
        <c:auto val="1"/>
        <c:lblOffset val="100"/>
        <c:baseTimeUnit val="days"/>
      </c:dateAx>
      <c:valAx>
        <c:axId val="12687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4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</a:t>
            </a:r>
            <a:r>
              <a:rPr lang="en-US" baseline="0"/>
              <a:t> + 20D 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Stocks'!$F$1:$F$2</c:f>
              <c:strCache>
                <c:ptCount val="2"/>
                <c:pt idx="0">
                  <c:v>Stock History Data</c:v>
                </c:pt>
                <c:pt idx="1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Stocks'!$F$3:$F$219</c:f>
              <c:numCache>
                <c:formatCode>#,##0</c:formatCode>
                <c:ptCount val="217"/>
                <c:pt idx="0">
                  <c:v>68235708</c:v>
                </c:pt>
                <c:pt idx="1">
                  <c:v>78487552</c:v>
                </c:pt>
                <c:pt idx="2">
                  <c:v>64867023</c:v>
                </c:pt>
                <c:pt idx="3">
                  <c:v>63407119</c:v>
                </c:pt>
                <c:pt idx="4">
                  <c:v>62670278</c:v>
                </c:pt>
                <c:pt idx="5">
                  <c:v>74552875</c:v>
                </c:pt>
                <c:pt idx="6">
                  <c:v>67084313</c:v>
                </c:pt>
                <c:pt idx="7">
                  <c:v>46150035</c:v>
                </c:pt>
                <c:pt idx="8">
                  <c:v>69778271</c:v>
                </c:pt>
                <c:pt idx="9">
                  <c:v>46505753</c:v>
                </c:pt>
                <c:pt idx="10">
                  <c:v>61780110</c:v>
                </c:pt>
                <c:pt idx="11">
                  <c:v>66726387</c:v>
                </c:pt>
                <c:pt idx="12">
                  <c:v>65993172</c:v>
                </c:pt>
                <c:pt idx="13">
                  <c:v>57145140</c:v>
                </c:pt>
                <c:pt idx="14">
                  <c:v>43598838</c:v>
                </c:pt>
                <c:pt idx="15">
                  <c:v>74257329</c:v>
                </c:pt>
                <c:pt idx="16">
                  <c:v>93659287</c:v>
                </c:pt>
                <c:pt idx="17">
                  <c:v>71111881</c:v>
                </c:pt>
                <c:pt idx="18">
                  <c:v>70782906</c:v>
                </c:pt>
                <c:pt idx="19">
                  <c:v>105393560</c:v>
                </c:pt>
                <c:pt idx="20">
                  <c:v>133542924</c:v>
                </c:pt>
                <c:pt idx="21">
                  <c:v>69821048</c:v>
                </c:pt>
                <c:pt idx="22">
                  <c:v>126184045</c:v>
                </c:pt>
                <c:pt idx="23">
                  <c:v>226339032</c:v>
                </c:pt>
                <c:pt idx="24">
                  <c:v>143116839</c:v>
                </c:pt>
                <c:pt idx="25">
                  <c:v>73328062</c:v>
                </c:pt>
                <c:pt idx="26">
                  <c:v>55726170</c:v>
                </c:pt>
                <c:pt idx="27">
                  <c:v>68421994</c:v>
                </c:pt>
                <c:pt idx="28">
                  <c:v>73218126</c:v>
                </c:pt>
                <c:pt idx="29">
                  <c:v>54642783</c:v>
                </c:pt>
                <c:pt idx="30">
                  <c:v>62175764</c:v>
                </c:pt>
                <c:pt idx="31">
                  <c:v>50191726</c:v>
                </c:pt>
                <c:pt idx="32">
                  <c:v>39787792</c:v>
                </c:pt>
                <c:pt idx="33">
                  <c:v>58437662</c:v>
                </c:pt>
                <c:pt idx="34">
                  <c:v>72562637</c:v>
                </c:pt>
                <c:pt idx="35">
                  <c:v>88876827</c:v>
                </c:pt>
                <c:pt idx="36">
                  <c:v>87948083</c:v>
                </c:pt>
                <c:pt idx="37">
                  <c:v>70518755</c:v>
                </c:pt>
                <c:pt idx="38">
                  <c:v>137992574</c:v>
                </c:pt>
                <c:pt idx="39">
                  <c:v>154435905</c:v>
                </c:pt>
                <c:pt idx="40">
                  <c:v>167499954</c:v>
                </c:pt>
                <c:pt idx="41">
                  <c:v>157774904</c:v>
                </c:pt>
                <c:pt idx="42">
                  <c:v>136680746</c:v>
                </c:pt>
                <c:pt idx="43">
                  <c:v>150644884</c:v>
                </c:pt>
                <c:pt idx="44">
                  <c:v>167183809</c:v>
                </c:pt>
                <c:pt idx="45">
                  <c:v>210126974</c:v>
                </c:pt>
                <c:pt idx="46">
                  <c:v>129994592</c:v>
                </c:pt>
                <c:pt idx="47">
                  <c:v>137747632</c:v>
                </c:pt>
                <c:pt idx="48">
                  <c:v>91313759</c:v>
                </c:pt>
                <c:pt idx="49">
                  <c:v>98583068</c:v>
                </c:pt>
                <c:pt idx="50">
                  <c:v>102730930</c:v>
                </c:pt>
                <c:pt idx="51">
                  <c:v>124697379</c:v>
                </c:pt>
                <c:pt idx="52">
                  <c:v>109103733</c:v>
                </c:pt>
                <c:pt idx="53">
                  <c:v>240638631</c:v>
                </c:pt>
                <c:pt idx="54">
                  <c:v>102847191</c:v>
                </c:pt>
                <c:pt idx="55">
                  <c:v>83674856</c:v>
                </c:pt>
                <c:pt idx="56">
                  <c:v>140975582</c:v>
                </c:pt>
                <c:pt idx="57">
                  <c:v>229032469</c:v>
                </c:pt>
                <c:pt idx="58">
                  <c:v>136868327</c:v>
                </c:pt>
                <c:pt idx="59">
                  <c:v>139951868</c:v>
                </c:pt>
                <c:pt idx="60">
                  <c:v>135388684</c:v>
                </c:pt>
                <c:pt idx="61">
                  <c:v>136908485</c:v>
                </c:pt>
                <c:pt idx="62">
                  <c:v>220270980</c:v>
                </c:pt>
                <c:pt idx="63">
                  <c:v>177466228</c:v>
                </c:pt>
                <c:pt idx="64">
                  <c:v>274938497</c:v>
                </c:pt>
                <c:pt idx="65">
                  <c:v>199286778</c:v>
                </c:pt>
                <c:pt idx="66">
                  <c:v>199662988</c:v>
                </c:pt>
                <c:pt idx="67">
                  <c:v>163535434</c:v>
                </c:pt>
                <c:pt idx="68">
                  <c:v>146073701</c:v>
                </c:pt>
                <c:pt idx="69">
                  <c:v>189955001</c:v>
                </c:pt>
                <c:pt idx="70">
                  <c:v>125469023</c:v>
                </c:pt>
                <c:pt idx="71">
                  <c:v>133804943</c:v>
                </c:pt>
                <c:pt idx="72">
                  <c:v>129204565</c:v>
                </c:pt>
                <c:pt idx="73">
                  <c:v>94138882</c:v>
                </c:pt>
                <c:pt idx="74">
                  <c:v>121387081</c:v>
                </c:pt>
                <c:pt idx="75">
                  <c:v>158691527</c:v>
                </c:pt>
                <c:pt idx="76">
                  <c:v>87031042</c:v>
                </c:pt>
                <c:pt idx="77">
                  <c:v>88682432</c:v>
                </c:pt>
                <c:pt idx="78">
                  <c:v>77051524</c:v>
                </c:pt>
                <c:pt idx="79">
                  <c:v>141980313</c:v>
                </c:pt>
                <c:pt idx="80">
                  <c:v>136406235</c:v>
                </c:pt>
                <c:pt idx="81">
                  <c:v>126532486</c:v>
                </c:pt>
                <c:pt idx="82">
                  <c:v>82228655</c:v>
                </c:pt>
                <c:pt idx="83">
                  <c:v>105766259</c:v>
                </c:pt>
                <c:pt idx="84">
                  <c:v>131814035</c:v>
                </c:pt>
                <c:pt idx="85">
                  <c:v>116936644</c:v>
                </c:pt>
                <c:pt idx="86">
                  <c:v>107173416</c:v>
                </c:pt>
                <c:pt idx="87">
                  <c:v>76350701</c:v>
                </c:pt>
                <c:pt idx="88">
                  <c:v>102035764</c:v>
                </c:pt>
                <c:pt idx="89">
                  <c:v>83671012</c:v>
                </c:pt>
                <c:pt idx="90">
                  <c:v>84453089</c:v>
                </c:pt>
                <c:pt idx="91">
                  <c:v>71096528</c:v>
                </c:pt>
                <c:pt idx="92">
                  <c:v>64913005</c:v>
                </c:pt>
                <c:pt idx="93">
                  <c:v>60195734</c:v>
                </c:pt>
                <c:pt idx="94">
                  <c:v>61063828</c:v>
                </c:pt>
                <c:pt idx="95">
                  <c:v>89090498</c:v>
                </c:pt>
                <c:pt idx="96">
                  <c:v>94081143</c:v>
                </c:pt>
                <c:pt idx="97">
                  <c:v>80519024</c:v>
                </c:pt>
                <c:pt idx="98">
                  <c:v>89066847</c:v>
                </c:pt>
                <c:pt idx="99">
                  <c:v>102335584</c:v>
                </c:pt>
                <c:pt idx="100">
                  <c:v>101688883</c:v>
                </c:pt>
                <c:pt idx="101">
                  <c:v>152191621</c:v>
                </c:pt>
                <c:pt idx="102">
                  <c:v>170340783</c:v>
                </c:pt>
                <c:pt idx="103">
                  <c:v>121584328</c:v>
                </c:pt>
                <c:pt idx="104">
                  <c:v>123191229</c:v>
                </c:pt>
                <c:pt idx="105">
                  <c:v>133269444</c:v>
                </c:pt>
                <c:pt idx="106">
                  <c:v>105916694</c:v>
                </c:pt>
                <c:pt idx="107">
                  <c:v>63638928</c:v>
                </c:pt>
                <c:pt idx="108">
                  <c:v>87955501</c:v>
                </c:pt>
                <c:pt idx="109">
                  <c:v>93094876</c:v>
                </c:pt>
                <c:pt idx="110">
                  <c:v>76393291</c:v>
                </c:pt>
                <c:pt idx="111">
                  <c:v>90106172</c:v>
                </c:pt>
                <c:pt idx="112">
                  <c:v>75195179</c:v>
                </c:pt>
                <c:pt idx="113">
                  <c:v>100969375</c:v>
                </c:pt>
                <c:pt idx="114">
                  <c:v>82770168</c:v>
                </c:pt>
                <c:pt idx="115">
                  <c:v>116743402</c:v>
                </c:pt>
                <c:pt idx="116">
                  <c:v>77576511</c:v>
                </c:pt>
                <c:pt idx="117">
                  <c:v>77244413</c:v>
                </c:pt>
                <c:pt idx="118">
                  <c:v>91927326</c:v>
                </c:pt>
                <c:pt idx="119">
                  <c:v>88416356</c:v>
                </c:pt>
                <c:pt idx="120">
                  <c:v>182008244</c:v>
                </c:pt>
                <c:pt idx="121">
                  <c:v>88472231</c:v>
                </c:pt>
                <c:pt idx="122">
                  <c:v>140150738</c:v>
                </c:pt>
                <c:pt idx="123">
                  <c:v>122331588</c:v>
                </c:pt>
                <c:pt idx="124">
                  <c:v>60311463</c:v>
                </c:pt>
                <c:pt idx="125">
                  <c:v>73842100</c:v>
                </c:pt>
                <c:pt idx="126">
                  <c:v>74190215</c:v>
                </c:pt>
                <c:pt idx="127">
                  <c:v>63886882</c:v>
                </c:pt>
                <c:pt idx="128">
                  <c:v>67263023</c:v>
                </c:pt>
                <c:pt idx="129">
                  <c:v>65340737</c:v>
                </c:pt>
                <c:pt idx="130">
                  <c:v>62098074</c:v>
                </c:pt>
                <c:pt idx="131">
                  <c:v>65101902</c:v>
                </c:pt>
                <c:pt idx="132">
                  <c:v>107978145</c:v>
                </c:pt>
                <c:pt idx="133">
                  <c:v>70345257</c:v>
                </c:pt>
                <c:pt idx="134">
                  <c:v>68812553</c:v>
                </c:pt>
                <c:pt idx="135">
                  <c:v>65515630</c:v>
                </c:pt>
                <c:pt idx="136">
                  <c:v>79403755</c:v>
                </c:pt>
                <c:pt idx="137">
                  <c:v>76163207</c:v>
                </c:pt>
                <c:pt idx="138">
                  <c:v>63557796</c:v>
                </c:pt>
                <c:pt idx="139">
                  <c:v>52312257</c:v>
                </c:pt>
                <c:pt idx="140">
                  <c:v>54173647</c:v>
                </c:pt>
                <c:pt idx="141">
                  <c:v>58371483</c:v>
                </c:pt>
                <c:pt idx="142">
                  <c:v>79866858</c:v>
                </c:pt>
                <c:pt idx="143">
                  <c:v>101090884</c:v>
                </c:pt>
                <c:pt idx="144">
                  <c:v>73541489</c:v>
                </c:pt>
                <c:pt idx="145">
                  <c:v>56696828</c:v>
                </c:pt>
                <c:pt idx="146">
                  <c:v>58864252</c:v>
                </c:pt>
                <c:pt idx="147">
                  <c:v>59519843</c:v>
                </c:pt>
                <c:pt idx="148">
                  <c:v>71774972</c:v>
                </c:pt>
                <c:pt idx="149">
                  <c:v>48465317</c:v>
                </c:pt>
                <c:pt idx="150">
                  <c:v>84332966</c:v>
                </c:pt>
                <c:pt idx="151">
                  <c:v>64021039</c:v>
                </c:pt>
                <c:pt idx="152">
                  <c:v>63823345</c:v>
                </c:pt>
                <c:pt idx="153">
                  <c:v>52469244</c:v>
                </c:pt>
                <c:pt idx="154">
                  <c:v>46141355</c:v>
                </c:pt>
                <c:pt idx="155">
                  <c:v>37113805</c:v>
                </c:pt>
                <c:pt idx="156">
                  <c:v>58020177</c:v>
                </c:pt>
                <c:pt idx="157">
                  <c:v>46469853</c:v>
                </c:pt>
                <c:pt idx="158">
                  <c:v>51779301</c:v>
                </c:pt>
                <c:pt idx="159">
                  <c:v>58538704</c:v>
                </c:pt>
                <c:pt idx="160">
                  <c:v>45038754</c:v>
                </c:pt>
                <c:pt idx="161">
                  <c:v>48613273</c:v>
                </c:pt>
                <c:pt idx="162">
                  <c:v>40381477</c:v>
                </c:pt>
                <c:pt idx="163">
                  <c:v>47723668</c:v>
                </c:pt>
                <c:pt idx="164">
                  <c:v>44069734</c:v>
                </c:pt>
                <c:pt idx="165">
                  <c:v>57704182</c:v>
                </c:pt>
                <c:pt idx="166">
                  <c:v>47728660</c:v>
                </c:pt>
                <c:pt idx="167">
                  <c:v>33136650</c:v>
                </c:pt>
                <c:pt idx="168">
                  <c:v>47547831</c:v>
                </c:pt>
                <c:pt idx="169">
                  <c:v>39734522</c:v>
                </c:pt>
                <c:pt idx="170">
                  <c:v>41262743</c:v>
                </c:pt>
                <c:pt idx="171">
                  <c:v>47021328</c:v>
                </c:pt>
                <c:pt idx="172">
                  <c:v>64196118</c:v>
                </c:pt>
                <c:pt idx="173">
                  <c:v>50100809</c:v>
                </c:pt>
                <c:pt idx="174">
                  <c:v>47942431</c:v>
                </c:pt>
                <c:pt idx="175">
                  <c:v>58064970</c:v>
                </c:pt>
                <c:pt idx="176">
                  <c:v>68585945</c:v>
                </c:pt>
                <c:pt idx="177">
                  <c:v>55040063</c:v>
                </c:pt>
                <c:pt idx="178">
                  <c:v>71676341</c:v>
                </c:pt>
                <c:pt idx="179">
                  <c:v>58432710</c:v>
                </c:pt>
                <c:pt idx="180">
                  <c:v>55667552</c:v>
                </c:pt>
                <c:pt idx="181">
                  <c:v>60193780</c:v>
                </c:pt>
                <c:pt idx="182">
                  <c:v>67656337</c:v>
                </c:pt>
                <c:pt idx="183">
                  <c:v>117681848</c:v>
                </c:pt>
                <c:pt idx="184">
                  <c:v>83325012</c:v>
                </c:pt>
                <c:pt idx="185">
                  <c:v>70765048</c:v>
                </c:pt>
                <c:pt idx="186">
                  <c:v>73578427</c:v>
                </c:pt>
                <c:pt idx="187">
                  <c:v>74530532</c:v>
                </c:pt>
                <c:pt idx="188">
                  <c:v>100778558</c:v>
                </c:pt>
                <c:pt idx="189">
                  <c:v>90544937</c:v>
                </c:pt>
                <c:pt idx="190">
                  <c:v>154390154</c:v>
                </c:pt>
                <c:pt idx="191">
                  <c:v>78469653</c:v>
                </c:pt>
                <c:pt idx="192">
                  <c:v>70320483</c:v>
                </c:pt>
                <c:pt idx="193">
                  <c:v>84595402</c:v>
                </c:pt>
                <c:pt idx="194">
                  <c:v>73939384</c:v>
                </c:pt>
                <c:pt idx="195">
                  <c:v>89117946</c:v>
                </c:pt>
                <c:pt idx="196">
                  <c:v>88960726</c:v>
                </c:pt>
                <c:pt idx="197">
                  <c:v>108701202</c:v>
                </c:pt>
                <c:pt idx="198">
                  <c:v>107633522</c:v>
                </c:pt>
                <c:pt idx="199">
                  <c:v>77878936</c:v>
                </c:pt>
                <c:pt idx="200">
                  <c:v>297153158</c:v>
                </c:pt>
                <c:pt idx="201">
                  <c:v>415062173</c:v>
                </c:pt>
                <c:pt idx="202">
                  <c:v>479840312</c:v>
                </c:pt>
                <c:pt idx="203">
                  <c:v>298366862</c:v>
                </c:pt>
                <c:pt idx="204">
                  <c:v>140859004</c:v>
                </c:pt>
                <c:pt idx="205">
                  <c:v>96738451</c:v>
                </c:pt>
                <c:pt idx="206">
                  <c:v>127512240</c:v>
                </c:pt>
                <c:pt idx="207">
                  <c:v>80766301</c:v>
                </c:pt>
                <c:pt idx="208">
                  <c:v>68861988</c:v>
                </c:pt>
                <c:pt idx="209">
                  <c:v>80419403</c:v>
                </c:pt>
                <c:pt idx="210">
                  <c:v>70360611</c:v>
                </c:pt>
                <c:pt idx="211">
                  <c:v>79134307</c:v>
                </c:pt>
                <c:pt idx="212">
                  <c:v>82291049</c:v>
                </c:pt>
                <c:pt idx="213">
                  <c:v>80011318</c:v>
                </c:pt>
                <c:pt idx="214">
                  <c:v>62051157</c:v>
                </c:pt>
                <c:pt idx="215">
                  <c:v>79742405</c:v>
                </c:pt>
                <c:pt idx="216">
                  <c:v>61840461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4-4859-A138-AB6C124151C6}"/>
            </c:ext>
          </c:extLst>
        </c:ser>
        <c:ser>
          <c:idx val="1"/>
          <c:order val="1"/>
          <c:tx>
            <c:strRef>
              <c:f>'US Stocks'!$N$1:$N$2</c:f>
              <c:strCache>
                <c:ptCount val="2"/>
                <c:pt idx="0">
                  <c:v> Calculated Columns </c:v>
                </c:pt>
                <c:pt idx="1">
                  <c:v>20 Day Volume 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 Stocks'!$A$3:$A$219</c:f>
              <c:numCache>
                <c:formatCode>m/d/yyyy</c:formatCode>
                <c:ptCount val="2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</c:numCache>
            </c:numRef>
          </c:cat>
          <c:val>
            <c:numRef>
              <c:f>'US Stocks'!$N$3:$N$219</c:f>
              <c:numCache>
                <c:formatCode>General</c:formatCode>
                <c:ptCount val="217"/>
                <c:pt idx="19">
                  <c:v>67609376.849999994</c:v>
                </c:pt>
                <c:pt idx="20">
                  <c:v>70874737.650000006</c:v>
                </c:pt>
                <c:pt idx="21">
                  <c:v>70441412.450000003</c:v>
                </c:pt>
                <c:pt idx="22">
                  <c:v>73507263.549999997</c:v>
                </c:pt>
                <c:pt idx="23">
                  <c:v>81653859.200000003</c:v>
                </c:pt>
                <c:pt idx="24">
                  <c:v>85676187.25</c:v>
                </c:pt>
                <c:pt idx="25">
                  <c:v>85614946.599999994</c:v>
                </c:pt>
                <c:pt idx="26">
                  <c:v>85047039.450000003</c:v>
                </c:pt>
                <c:pt idx="27">
                  <c:v>86160637.400000006</c:v>
                </c:pt>
                <c:pt idx="28">
                  <c:v>86332630.150000006</c:v>
                </c:pt>
                <c:pt idx="29">
                  <c:v>86739481.650000006</c:v>
                </c:pt>
                <c:pt idx="30">
                  <c:v>86759264.349999994</c:v>
                </c:pt>
                <c:pt idx="31">
                  <c:v>85932531.299999997</c:v>
                </c:pt>
                <c:pt idx="32">
                  <c:v>84622262.299999997</c:v>
                </c:pt>
                <c:pt idx="33">
                  <c:v>84686888.400000006</c:v>
                </c:pt>
                <c:pt idx="34">
                  <c:v>86135078.349999994</c:v>
                </c:pt>
                <c:pt idx="35">
                  <c:v>86866053.25</c:v>
                </c:pt>
                <c:pt idx="36">
                  <c:v>86580493.049999997</c:v>
                </c:pt>
                <c:pt idx="37">
                  <c:v>86550836.75</c:v>
                </c:pt>
                <c:pt idx="38">
                  <c:v>89911320.150000006</c:v>
                </c:pt>
                <c:pt idx="39">
                  <c:v>92363437.400000006</c:v>
                </c:pt>
                <c:pt idx="40">
                  <c:v>94061288.900000006</c:v>
                </c:pt>
                <c:pt idx="41">
                  <c:v>98458981.700000003</c:v>
                </c:pt>
                <c:pt idx="42">
                  <c:v>98983816.75</c:v>
                </c:pt>
                <c:pt idx="43">
                  <c:v>95199109.349999994</c:v>
                </c:pt>
                <c:pt idx="44">
                  <c:v>96402457.849999994</c:v>
                </c:pt>
                <c:pt idx="45">
                  <c:v>103242403.45</c:v>
                </c:pt>
                <c:pt idx="46">
                  <c:v>106955824.55</c:v>
                </c:pt>
                <c:pt idx="47">
                  <c:v>110422106.45</c:v>
                </c:pt>
                <c:pt idx="48">
                  <c:v>111326888.09999999</c:v>
                </c:pt>
                <c:pt idx="49">
                  <c:v>113523902.34999999</c:v>
                </c:pt>
                <c:pt idx="50">
                  <c:v>115551660.65000001</c:v>
                </c:pt>
                <c:pt idx="51">
                  <c:v>119276943.3</c:v>
                </c:pt>
                <c:pt idx="52">
                  <c:v>122742740.34999999</c:v>
                </c:pt>
                <c:pt idx="53">
                  <c:v>131852788.8</c:v>
                </c:pt>
                <c:pt idx="54">
                  <c:v>133367016.5</c:v>
                </c:pt>
                <c:pt idx="55">
                  <c:v>133106917.95</c:v>
                </c:pt>
                <c:pt idx="56">
                  <c:v>135758292.90000001</c:v>
                </c:pt>
                <c:pt idx="57">
                  <c:v>143683978.59999999</c:v>
                </c:pt>
                <c:pt idx="58">
                  <c:v>143627766.25</c:v>
                </c:pt>
                <c:pt idx="59">
                  <c:v>142903564.40000001</c:v>
                </c:pt>
                <c:pt idx="60">
                  <c:v>141298000.90000001</c:v>
                </c:pt>
                <c:pt idx="61">
                  <c:v>140254679.94999999</c:v>
                </c:pt>
                <c:pt idx="62">
                  <c:v>144434191.65000001</c:v>
                </c:pt>
                <c:pt idx="63">
                  <c:v>145775258.84999999</c:v>
                </c:pt>
                <c:pt idx="64">
                  <c:v>151162993.25</c:v>
                </c:pt>
                <c:pt idx="65">
                  <c:v>150620983.44999999</c:v>
                </c:pt>
                <c:pt idx="66">
                  <c:v>154104403.25</c:v>
                </c:pt>
                <c:pt idx="67">
                  <c:v>155393793.34999999</c:v>
                </c:pt>
                <c:pt idx="68">
                  <c:v>158131790.44999999</c:v>
                </c:pt>
                <c:pt idx="69">
                  <c:v>162700387.09999999</c:v>
                </c:pt>
                <c:pt idx="70">
                  <c:v>163837291.75</c:v>
                </c:pt>
                <c:pt idx="71">
                  <c:v>164292669.94999999</c:v>
                </c:pt>
                <c:pt idx="72">
                  <c:v>165297711.55000001</c:v>
                </c:pt>
                <c:pt idx="73">
                  <c:v>157972724.09999999</c:v>
                </c:pt>
                <c:pt idx="74">
                  <c:v>158899718.59999999</c:v>
                </c:pt>
                <c:pt idx="75">
                  <c:v>162650552.15000001</c:v>
                </c:pt>
                <c:pt idx="76">
                  <c:v>159953325.15000001</c:v>
                </c:pt>
                <c:pt idx="77">
                  <c:v>152935823.30000001</c:v>
                </c:pt>
                <c:pt idx="78">
                  <c:v>149944983.15000001</c:v>
                </c:pt>
                <c:pt idx="79">
                  <c:v>150046405.40000001</c:v>
                </c:pt>
                <c:pt idx="80">
                  <c:v>150097282.94999999</c:v>
                </c:pt>
                <c:pt idx="81">
                  <c:v>149578483</c:v>
                </c:pt>
                <c:pt idx="82">
                  <c:v>142676366.75</c:v>
                </c:pt>
                <c:pt idx="83">
                  <c:v>139091368.30000001</c:v>
                </c:pt>
                <c:pt idx="84">
                  <c:v>131935145.2</c:v>
                </c:pt>
                <c:pt idx="85">
                  <c:v>127817638.5</c:v>
                </c:pt>
                <c:pt idx="86">
                  <c:v>123193159.90000001</c:v>
                </c:pt>
                <c:pt idx="87">
                  <c:v>118833923.25</c:v>
                </c:pt>
                <c:pt idx="88">
                  <c:v>116632026.40000001</c:v>
                </c:pt>
                <c:pt idx="89">
                  <c:v>111317826.95</c:v>
                </c:pt>
                <c:pt idx="90">
                  <c:v>109267030.25</c:v>
                </c:pt>
                <c:pt idx="91">
                  <c:v>106131609.5</c:v>
                </c:pt>
                <c:pt idx="92">
                  <c:v>102917031.5</c:v>
                </c:pt>
                <c:pt idx="93">
                  <c:v>101219874.09999999</c:v>
                </c:pt>
                <c:pt idx="94">
                  <c:v>98203711.450000003</c:v>
                </c:pt>
                <c:pt idx="95">
                  <c:v>94723660</c:v>
                </c:pt>
                <c:pt idx="96">
                  <c:v>95076165.049999997</c:v>
                </c:pt>
                <c:pt idx="97">
                  <c:v>94667994.650000006</c:v>
                </c:pt>
                <c:pt idx="98">
                  <c:v>95268760.799999997</c:v>
                </c:pt>
                <c:pt idx="99">
                  <c:v>93286524.349999994</c:v>
                </c:pt>
                <c:pt idx="100">
                  <c:v>91550656.75</c:v>
                </c:pt>
                <c:pt idx="101">
                  <c:v>92833613.5</c:v>
                </c:pt>
                <c:pt idx="102">
                  <c:v>97239219.900000006</c:v>
                </c:pt>
                <c:pt idx="103">
                  <c:v>98030123.349999994</c:v>
                </c:pt>
                <c:pt idx="104">
                  <c:v>97598983.049999997</c:v>
                </c:pt>
                <c:pt idx="105">
                  <c:v>98415623.049999997</c:v>
                </c:pt>
                <c:pt idx="106">
                  <c:v>98352786.950000003</c:v>
                </c:pt>
                <c:pt idx="107">
                  <c:v>97717198.299999997</c:v>
                </c:pt>
                <c:pt idx="108">
                  <c:v>97013185.150000006</c:v>
                </c:pt>
                <c:pt idx="109">
                  <c:v>97484378.349999994</c:v>
                </c:pt>
                <c:pt idx="110">
                  <c:v>97081388.450000003</c:v>
                </c:pt>
                <c:pt idx="111">
                  <c:v>98031870.650000006</c:v>
                </c:pt>
                <c:pt idx="112">
                  <c:v>98545979.349999994</c:v>
                </c:pt>
                <c:pt idx="113">
                  <c:v>100584661.40000001</c:v>
                </c:pt>
                <c:pt idx="114">
                  <c:v>101669978.40000001</c:v>
                </c:pt>
                <c:pt idx="115">
                  <c:v>103052623.59999999</c:v>
                </c:pt>
                <c:pt idx="116">
                  <c:v>102227392</c:v>
                </c:pt>
                <c:pt idx="117">
                  <c:v>102063661.45</c:v>
                </c:pt>
                <c:pt idx="118">
                  <c:v>102206685.40000001</c:v>
                </c:pt>
                <c:pt idx="119">
                  <c:v>101510724</c:v>
                </c:pt>
                <c:pt idx="120">
                  <c:v>105526692.05</c:v>
                </c:pt>
                <c:pt idx="121">
                  <c:v>102340722.55</c:v>
                </c:pt>
                <c:pt idx="122">
                  <c:v>100831220.3</c:v>
                </c:pt>
                <c:pt idx="123">
                  <c:v>100868583.3</c:v>
                </c:pt>
                <c:pt idx="124">
                  <c:v>97724595</c:v>
                </c:pt>
                <c:pt idx="125">
                  <c:v>94753227.799999997</c:v>
                </c:pt>
                <c:pt idx="126">
                  <c:v>93166903.849999994</c:v>
                </c:pt>
                <c:pt idx="127">
                  <c:v>93179301.549999997</c:v>
                </c:pt>
                <c:pt idx="128">
                  <c:v>92144677.650000006</c:v>
                </c:pt>
                <c:pt idx="129">
                  <c:v>90756970.700000003</c:v>
                </c:pt>
                <c:pt idx="130">
                  <c:v>90042209.849999994</c:v>
                </c:pt>
                <c:pt idx="131">
                  <c:v>88791996.349999994</c:v>
                </c:pt>
                <c:pt idx="132">
                  <c:v>90431144.650000006</c:v>
                </c:pt>
                <c:pt idx="133">
                  <c:v>88899938.75</c:v>
                </c:pt>
                <c:pt idx="134">
                  <c:v>88202058</c:v>
                </c:pt>
                <c:pt idx="135">
                  <c:v>85640669.400000006</c:v>
                </c:pt>
                <c:pt idx="136">
                  <c:v>85732031.599999994</c:v>
                </c:pt>
                <c:pt idx="137">
                  <c:v>85677971.299999997</c:v>
                </c:pt>
                <c:pt idx="138">
                  <c:v>84259494.799999997</c:v>
                </c:pt>
                <c:pt idx="139">
                  <c:v>82454289.849999994</c:v>
                </c:pt>
                <c:pt idx="140">
                  <c:v>76062560</c:v>
                </c:pt>
                <c:pt idx="141">
                  <c:v>74557522.599999994</c:v>
                </c:pt>
                <c:pt idx="142">
                  <c:v>71543328.599999994</c:v>
                </c:pt>
                <c:pt idx="143">
                  <c:v>70481293.400000006</c:v>
                </c:pt>
                <c:pt idx="144">
                  <c:v>71142794.700000003</c:v>
                </c:pt>
                <c:pt idx="145">
                  <c:v>70285531.099999994</c:v>
                </c:pt>
                <c:pt idx="146">
                  <c:v>69519232.950000003</c:v>
                </c:pt>
                <c:pt idx="147">
                  <c:v>69300881</c:v>
                </c:pt>
                <c:pt idx="148">
                  <c:v>69526478.450000003</c:v>
                </c:pt>
                <c:pt idx="149">
                  <c:v>68682707.450000003</c:v>
                </c:pt>
                <c:pt idx="150">
                  <c:v>69794452.049999997</c:v>
                </c:pt>
                <c:pt idx="151">
                  <c:v>69740408.900000006</c:v>
                </c:pt>
                <c:pt idx="152">
                  <c:v>67532668.900000006</c:v>
                </c:pt>
                <c:pt idx="153">
                  <c:v>66638868.25</c:v>
                </c:pt>
                <c:pt idx="154">
                  <c:v>65505308.350000001</c:v>
                </c:pt>
                <c:pt idx="155">
                  <c:v>64085217.100000001</c:v>
                </c:pt>
                <c:pt idx="156">
                  <c:v>63016038.200000003</c:v>
                </c:pt>
                <c:pt idx="157">
                  <c:v>61531370.5</c:v>
                </c:pt>
                <c:pt idx="158">
                  <c:v>60942445.75</c:v>
                </c:pt>
                <c:pt idx="159">
                  <c:v>61253768.100000001</c:v>
                </c:pt>
                <c:pt idx="160">
                  <c:v>60797023.450000003</c:v>
                </c:pt>
                <c:pt idx="161">
                  <c:v>60309112.950000003</c:v>
                </c:pt>
                <c:pt idx="162">
                  <c:v>58334843.899999999</c:v>
                </c:pt>
                <c:pt idx="163">
                  <c:v>55666483.100000001</c:v>
                </c:pt>
                <c:pt idx="164">
                  <c:v>54192895.350000001</c:v>
                </c:pt>
                <c:pt idx="165">
                  <c:v>54243263.049999997</c:v>
                </c:pt>
                <c:pt idx="166">
                  <c:v>53686483.450000003</c:v>
                </c:pt>
                <c:pt idx="167">
                  <c:v>52367323.799999997</c:v>
                </c:pt>
                <c:pt idx="168">
                  <c:v>51155966.75</c:v>
                </c:pt>
                <c:pt idx="169">
                  <c:v>50719427</c:v>
                </c:pt>
                <c:pt idx="170">
                  <c:v>48565915.850000001</c:v>
                </c:pt>
                <c:pt idx="171">
                  <c:v>47715930.299999997</c:v>
                </c:pt>
                <c:pt idx="172">
                  <c:v>47734568.950000003</c:v>
                </c:pt>
                <c:pt idx="173">
                  <c:v>47616147.200000003</c:v>
                </c:pt>
                <c:pt idx="174">
                  <c:v>47706201</c:v>
                </c:pt>
                <c:pt idx="175">
                  <c:v>48753759.25</c:v>
                </c:pt>
                <c:pt idx="176">
                  <c:v>49282047.649999999</c:v>
                </c:pt>
                <c:pt idx="177">
                  <c:v>49710558.149999999</c:v>
                </c:pt>
                <c:pt idx="178">
                  <c:v>50705410.149999999</c:v>
                </c:pt>
                <c:pt idx="179">
                  <c:v>50700110.450000003</c:v>
                </c:pt>
                <c:pt idx="180">
                  <c:v>51231550.350000001</c:v>
                </c:pt>
                <c:pt idx="181">
                  <c:v>51810575.700000003</c:v>
                </c:pt>
                <c:pt idx="182">
                  <c:v>53174318.700000003</c:v>
                </c:pt>
                <c:pt idx="183">
                  <c:v>56672227.700000003</c:v>
                </c:pt>
                <c:pt idx="184">
                  <c:v>58634991.600000001</c:v>
                </c:pt>
                <c:pt idx="185">
                  <c:v>59288034.899999999</c:v>
                </c:pt>
                <c:pt idx="186">
                  <c:v>60580523.25</c:v>
                </c:pt>
                <c:pt idx="187">
                  <c:v>62650217.350000001</c:v>
                </c:pt>
                <c:pt idx="188">
                  <c:v>65311753.700000003</c:v>
                </c:pt>
                <c:pt idx="189">
                  <c:v>67852274.450000003</c:v>
                </c:pt>
                <c:pt idx="190">
                  <c:v>73508645</c:v>
                </c:pt>
                <c:pt idx="191">
                  <c:v>75081061.25</c:v>
                </c:pt>
                <c:pt idx="192">
                  <c:v>75387279.5</c:v>
                </c:pt>
                <c:pt idx="193">
                  <c:v>77112009.150000006</c:v>
                </c:pt>
                <c:pt idx="194">
                  <c:v>78411856.799999997</c:v>
                </c:pt>
                <c:pt idx="195">
                  <c:v>79964505.599999994</c:v>
                </c:pt>
                <c:pt idx="196">
                  <c:v>80983244.650000006</c:v>
                </c:pt>
                <c:pt idx="197">
                  <c:v>83666301.599999994</c:v>
                </c:pt>
                <c:pt idx="198">
                  <c:v>85464160.650000006</c:v>
                </c:pt>
                <c:pt idx="199">
                  <c:v>86436471.950000003</c:v>
                </c:pt>
                <c:pt idx="200">
                  <c:v>98510752.25</c:v>
                </c:pt>
                <c:pt idx="201">
                  <c:v>116254171.90000001</c:v>
                </c:pt>
                <c:pt idx="202">
                  <c:v>136863370.65000001</c:v>
                </c:pt>
                <c:pt idx="203">
                  <c:v>145897621.34999999</c:v>
                </c:pt>
                <c:pt idx="204">
                  <c:v>148774320.94999999</c:v>
                </c:pt>
                <c:pt idx="205">
                  <c:v>150072991.09999999</c:v>
                </c:pt>
                <c:pt idx="206">
                  <c:v>152769681.75</c:v>
                </c:pt>
                <c:pt idx="207">
                  <c:v>153081470.19999999</c:v>
                </c:pt>
                <c:pt idx="208">
                  <c:v>151485641.69999999</c:v>
                </c:pt>
                <c:pt idx="209">
                  <c:v>150979365</c:v>
                </c:pt>
                <c:pt idx="210">
                  <c:v>146777887.84999999</c:v>
                </c:pt>
                <c:pt idx="211">
                  <c:v>146811120.55000001</c:v>
                </c:pt>
                <c:pt idx="212">
                  <c:v>147409648.84999999</c:v>
                </c:pt>
                <c:pt idx="213">
                  <c:v>147180444.65000001</c:v>
                </c:pt>
                <c:pt idx="214">
                  <c:v>146586033.30000001</c:v>
                </c:pt>
                <c:pt idx="215">
                  <c:v>146117256.25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4-4859-A138-AB6C12415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089872"/>
        <c:axId val="1277086032"/>
      </c:lineChart>
      <c:dateAx>
        <c:axId val="1277089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86032"/>
        <c:crosses val="autoZero"/>
        <c:auto val="1"/>
        <c:lblOffset val="100"/>
        <c:baseTimeUnit val="days"/>
      </c:dateAx>
      <c:valAx>
        <c:axId val="12770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0A149-1197-476F-B57E-29C586039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285750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99A41-B2E8-4469-9F71-7EBEB709D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285750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59644-7892-4142-9166-49ECA64DB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258536</xdr:colOff>
      <xdr:row>29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966831-618F-4A3A-92BF-FCC267242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285750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583641-3283-4EB0-8AD1-8995F973E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285750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EB9881-B588-45CC-BF04-7402AD132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217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</a>
  <a r="1" c="217">
    <v>9.4972999999999992</v>
    <v>9.7236999999999991</v>
    <v>9.7630999999999997</v>
    <v>9.6056000000000008</v>
    <v>9.5859000000000005</v>
    <v>9.4972999999999992</v>
    <v>9.5564</v>
    <v>9.6252999999999993</v>
    <v>9.7926000000000002</v>
    <v>9.8515999999999995</v>
    <v>10.019</v>
    <v>10.265000000000001</v>
    <v>9.8712999999999997</v>
    <v>9.9992999999999999</v>
    <v>9.9598999999999993</v>
    <v>10.2158</v>
    <v>9.9205000000000005</v>
    <v>10.048500000000001</v>
    <v>9.9992999999999999</v>
    <v>9.9205000000000005</v>
    <v>9.7334999999999994</v>
    <v>9.9992999999999999</v>
    <v>9.8515999999999995</v>
    <v>9.1135000000000002</v>
    <v>9.0937999999999999</v>
    <v>9.0937999999999999</v>
    <v>9.0642999999999994</v>
    <v>9.0839999999999996</v>
    <v>9.2020999999999997</v>
    <v>9.33</v>
    <v>9.2899999999999991</v>
    <v>9.34</v>
    <v>9.39</v>
    <v>9.2799999999999994</v>
    <v>9.35</v>
    <v>9.42</v>
    <v>9.4700000000000006</v>
    <v>9.2899999999999991</v>
    <v>9.5500000000000007</v>
    <v>9.39</v>
    <v>9.1199999999999992</v>
    <v>9.65</v>
    <v>9.61</v>
    <v>9.9</v>
    <v>9.9600000000000009</v>
    <v>9.69</v>
    <v>9.59</v>
    <v>9.5299999999999994</v>
    <v>9.73</v>
    <v>9.92</v>
    <v>9.9499999999999993</v>
    <v>10.17</v>
    <v>10.01</v>
    <v>10</v>
    <v>10.25</v>
    <v>10.29</v>
    <v>10.3</v>
    <v>9.9</v>
    <v>9.7200000000000006</v>
    <v>10.029999999999999</v>
    <v>9.94</v>
    <v>10.15</v>
    <v>9.5399999999999991</v>
    <v>9.58</v>
    <v>9.24</v>
    <v>8.69</v>
    <v>9.5</v>
    <v>9.14</v>
    <v>9.33</v>
    <v>9.7100000000000009</v>
    <v>9.4499999999999993</v>
    <v>9.4</v>
    <v>9.6300000000000008</v>
    <v>9.4700000000000006</v>
    <v>9.65</v>
    <v>9.7799999999999994</v>
    <v>10.06</v>
    <v>10.039999999999999</v>
    <v>10.02</v>
    <v>10.15</v>
    <v>10.01</v>
    <v>10.18</v>
    <v>10.28</v>
    <v>10.17</v>
    <v>10.44</v>
    <v>10.28</v>
    <v>10.28</v>
    <v>10.43</v>
    <v>10.55</v>
    <v>10.6</v>
    <v>10.65</v>
    <v>10.75</v>
    <v>10.8</v>
    <v>10.75</v>
    <v>10.72</v>
    <v>10.48</v>
    <v>10.44</v>
    <v>10.36</v>
    <v>10.31</v>
    <v>10.17</v>
    <v>10.220000000000001</v>
    <v>10.38</v>
    <v>9.98</v>
    <v>10.19</v>
    <v>10.24</v>
    <v>10.1</v>
    <v>10.26</v>
    <v>10.34</v>
    <v>10.6</v>
    <v>10.66</v>
    <v>10.53</v>
    <v>10.43</v>
    <v>10.62</v>
    <v>10.42</v>
    <v>10.43</v>
    <v>10.59</v>
    <v>10.75</v>
    <v>10.73</v>
    <v>10.48</v>
    <v>10.63</v>
    <v>10.8</v>
    <v>10.85</v>
    <v>11.35</v>
    <v>11.77</v>
    <v>11.81</v>
    <v>11.59</v>
    <v>11.68</v>
    <v>11.83</v>
    <v>11.91</v>
    <v>11.78</v>
    <v>11.88</v>
    <v>11.57</v>
    <v>11.24</v>
    <v>11.15</v>
    <v>11.16</v>
    <v>11.31</v>
    <v>11.19</v>
    <v>11.38</v>
    <v>11.26</v>
    <v>11.47</v>
    <v>11.28</v>
    <v>11.08</v>
    <v>10.87</v>
    <v>11.07</v>
    <v>10.82</v>
    <v>10.95</v>
    <v>11.06</v>
    <v>11.21</v>
    <v>11.28</v>
    <v>11.32</v>
    <v>11.14</v>
    <v>11.25</v>
    <v>11.44</v>
    <v>11.44</v>
    <v>11.44</v>
    <v>11.46</v>
    <v>11.58</v>
    <v>11.49</v>
    <v>11.33</v>
    <v>11.74</v>
    <v>11.82</v>
    <v>11.84</v>
    <v>11.91</v>
    <v>11.71</v>
    <v>11.77</v>
    <v>11.72</v>
    <v>11.62</v>
    <v>11.68</v>
    <v>11.74</v>
    <v>11.69</v>
    <v>11.49</v>
    <v>11.42</v>
    <v>11.76</v>
    <v>11.68</v>
    <v>11.68</v>
    <v>11.61</v>
    <v>11.66</v>
    <v>11.74</v>
    <v>11.62</v>
    <v>11.66</v>
    <v>11.73</v>
    <v>11.63</v>
    <v>11.62</v>
    <v>12.01</v>
    <v>12.09</v>
    <v>11.96</v>
    <v>12.27</v>
    <v>12.22</v>
    <v>12.67</v>
    <v>12.7</v>
    <v>11.92</v>
    <v>11.74</v>
    <v>11.5</v>
    <v>11.41</v>
    <v>11.54</v>
    <v>11.65</v>
    <v>11.76</v>
    <v>11.74</v>
    <v>11.92</v>
    <v>11.99</v>
    <v>12.56</v>
    <v>12.43</v>
    <v>12.34</v>
    <v>13.84</v>
    <v>13.26</v>
    <v>13.13</v>
    <v>13.24</v>
    <v>13.06</v>
    <v>13.13</v>
    <v>13.01</v>
    <v>12.79</v>
    <v>13.11</v>
    <v>13.12</v>
    <v>13.21</v>
    <v>13.16</v>
    <v>13.3</v>
    <v>13.45</v>
  </a>
  <a r="1" c="217">
    <v>9.7531999999999996</v>
    <v>9.5366999999999997</v>
    <v>9.9009</v>
    <v>9.7926000000000002</v>
    <v>9.5859000000000005</v>
    <v>9.5169999999999995</v>
    <v>9.5070999999999994</v>
    <v>9.6204000000000001</v>
    <v>9.8123000000000005</v>
    <v>9.7531999999999996</v>
    <v>9.9205000000000005</v>
    <v>10.1371</v>
    <v>10.0878</v>
    <v>9.891</v>
    <v>9.9992999999999999</v>
    <v>9.9501000000000008</v>
    <v>10.068199999999999</v>
    <v>9.9402000000000008</v>
    <v>10.0977</v>
    <v>10.0091</v>
    <v>9.5662000000000003</v>
    <v>9.7827000000000002</v>
    <v>9.9992999999999999</v>
    <v>9.3399000000000001</v>
    <v>9.1823999999999995</v>
    <v>9.1036999999999999</v>
    <v>9.0642999999999994</v>
    <v>9.0249000000000006</v>
    <v>9.1430000000000007</v>
    <v>9.2807999999999993</v>
    <v>9.32</v>
    <v>9.27</v>
    <v>9.33</v>
    <v>9.3800000000000008</v>
    <v>9.3049999999999997</v>
    <v>9.3650000000000002</v>
    <v>9.4600000000000009</v>
    <v>9.44</v>
    <v>9.3149999999999995</v>
    <v>9.7100000000000009</v>
    <v>9.23</v>
    <v>9.26</v>
    <v>9.5150000000000006</v>
    <v>9.5399999999999991</v>
    <v>9.77</v>
    <v>9.92</v>
    <v>9.6999999999999993</v>
    <v>9.57</v>
    <v>9.66</v>
    <v>9.74</v>
    <v>9.9499999999999993</v>
    <v>9.9600000000000009</v>
    <v>10.07</v>
    <v>9.9149999999999991</v>
    <v>10.039999999999999</v>
    <v>10.3</v>
    <v>10.27</v>
    <v>10.26</v>
    <v>9.84</v>
    <v>9.5749999999999993</v>
    <v>10.1</v>
    <v>9.8350000000000009</v>
    <v>9.9949999999999992</v>
    <v>9.3149999999999995</v>
    <v>9.27</v>
    <v>9.52</v>
    <v>8.5</v>
    <v>9.1</v>
    <v>9.11</v>
    <v>9.3800000000000008</v>
    <v>9.6150000000000002</v>
    <v>9.4700000000000006</v>
    <v>9.41</v>
    <v>9.58</v>
    <v>9.5500000000000007</v>
    <v>9.8350000000000009</v>
    <v>9.8699999999999992</v>
    <v>10.045</v>
    <v>10.06</v>
    <v>10.07</v>
    <v>10.11</v>
    <v>10.14</v>
    <v>10.3</v>
    <v>10.23</v>
    <v>10.09</v>
    <v>10.46</v>
    <v>10.34</v>
    <v>10.355</v>
    <v>10.56</v>
    <v>10.595000000000001</v>
    <v>10.57</v>
    <v>10.59</v>
    <v>10.77</v>
    <v>10.69</v>
    <v>10.79</v>
    <v>10.66</v>
    <v>10.48</v>
    <v>10.3</v>
    <v>10.45</v>
    <v>10.32</v>
    <v>10.210000000000001</v>
    <v>10.18</v>
    <v>10.27</v>
    <v>9.9700000000000006</v>
    <v>10.19</v>
    <v>10.199999999999999</v>
    <v>10.16</v>
    <v>10.29</v>
    <v>10.38</v>
    <v>10.64</v>
    <v>10.58</v>
    <v>10.47</v>
    <v>10.5</v>
    <v>10.59</v>
    <v>10.43</v>
    <v>10.49</v>
    <v>10.55</v>
    <v>10.79</v>
    <v>10.76</v>
    <v>10.4999</v>
    <v>10.7</v>
    <v>10.72</v>
    <v>10.81</v>
    <v>11.38</v>
    <v>11.75</v>
    <v>11.6</v>
    <v>11.65</v>
    <v>11.78</v>
    <v>11.86</v>
    <v>11.85</v>
    <v>11.76</v>
    <v>11.9</v>
    <v>11.35</v>
    <v>11.19</v>
    <v>11.17</v>
    <v>11.26</v>
    <v>11.24</v>
    <v>11.28</v>
    <v>11.31</v>
    <v>11.335000000000001</v>
    <v>11.48</v>
    <v>11.29</v>
    <v>11.125</v>
    <v>10.773</v>
    <v>10.92</v>
    <v>10.89</v>
    <v>10.98</v>
    <v>11.11</v>
    <v>11.3</v>
    <v>11.305</v>
    <v>11.3</v>
    <v>11.2</v>
    <v>11.27</v>
    <v>11.3</v>
    <v>11.43</v>
    <v>11.4</v>
    <v>11.52</v>
    <v>11.52</v>
    <v>11.42</v>
    <v>11.39</v>
    <v>11.72</v>
    <v>11.81</v>
    <v>11.82</v>
    <v>11.984999999999999</v>
    <v>11.74</v>
    <v>11.755000000000001</v>
    <v>11.67</v>
    <v>11.65</v>
    <v>11.71</v>
    <v>11.75</v>
    <v>11.67</v>
    <v>11.49</v>
    <v>11.46</v>
    <v>11.754</v>
    <v>11.74</v>
    <v>11.685</v>
    <v>11.63</v>
    <v>11.69</v>
    <v>11.77</v>
    <v>11.6</v>
    <v>11.7</v>
    <v>11.73</v>
    <v>11.54</v>
    <v>11.65</v>
    <v>12.1</v>
    <v>12.11</v>
    <v>12.12</v>
    <v>12.28</v>
    <v>12.244999999999999</v>
    <v>12.63</v>
    <v>12.5</v>
    <v>11.98</v>
    <v>11.744999999999999</v>
    <v>11.55</v>
    <v>11.49</v>
    <v>11.38</v>
    <v>11.675000000000001</v>
    <v>11.74</v>
    <v>11.74</v>
    <v>11.93</v>
    <v>12.255000000000001</v>
    <v>12.53</v>
    <v>12.47</v>
    <v>12.73</v>
    <v>13.8</v>
    <v>13.24</v>
    <v>13.1</v>
    <v>13.14</v>
    <v>13.04</v>
    <v>13.1</v>
    <v>12.91</v>
    <v>12.92</v>
    <v>13.14</v>
    <v>12.96</v>
    <v>13.23</v>
    <v>13.19</v>
    <v>13.3</v>
  </a>
  <a r="1" c="217">
    <v>9.7974999999999994</v>
    <v>9.7926000000000002</v>
    <v>10.0288</v>
    <v>9.8515999999999995</v>
    <v>9.5958000000000006</v>
    <v>9.6843000000000004</v>
    <v>9.5662000000000003</v>
    <v>9.6646000000000001</v>
    <v>9.9009</v>
    <v>9.9009</v>
    <v>10.048500000000001</v>
    <v>10.284700000000001</v>
    <v>10.0878</v>
    <v>10.0091</v>
    <v>10.1469</v>
    <v>10.2552</v>
    <v>10.068199999999999</v>
    <v>10.1272</v>
    <v>10.2256</v>
    <v>10.186299999999999</v>
    <v>9.9009</v>
    <v>9.9992999999999999</v>
    <v>10.1518</v>
    <v>9.4875000000000007</v>
    <v>9.2020999999999997</v>
    <v>9.1529000000000007</v>
    <v>9.1135000000000002</v>
    <v>9.1430000000000007</v>
    <v>9.2611000000000008</v>
    <v>9.3596000000000004</v>
    <v>9.35</v>
    <v>9.39</v>
    <v>9.3949999999999996</v>
    <v>9.41</v>
    <v>9.4</v>
    <v>9.49</v>
    <v>9.6199999999999992</v>
    <v>9.5299999999999994</v>
    <v>9.69</v>
    <v>9.82</v>
    <v>9.27</v>
    <v>9.67</v>
    <v>9.7200000000000006</v>
    <v>9.9600000000000009</v>
    <v>10.14</v>
    <v>9.9600000000000009</v>
    <v>9.7100000000000009</v>
    <v>9.9499999999999993</v>
    <v>9.7899999999999991</v>
    <v>9.98</v>
    <v>10.039999999999999</v>
    <v>10.28</v>
    <v>10.15</v>
    <v>10.119999999999999</v>
    <v>10.25</v>
    <v>10.35</v>
    <v>10.35</v>
    <v>10.4</v>
    <v>9.89</v>
    <v>10.11</v>
    <v>10.17</v>
    <v>10.27</v>
    <v>10.199999999999999</v>
    <v>9.73</v>
    <v>9.64</v>
    <v>9.52</v>
    <v>9.5399999999999991</v>
    <v>9.2799999999999994</v>
    <v>9.35</v>
    <v>9.81</v>
    <v>9.6300000000000008</v>
    <v>9.6199999999999992</v>
    <v>9.69</v>
    <v>9.6300000000000008</v>
    <v>9.7200000000000006</v>
    <v>10.0054</v>
    <v>10.09</v>
    <v>10.1</v>
    <v>10.18</v>
    <v>10.19</v>
    <v>10.130000000000001</v>
    <v>10.32</v>
    <v>10.39</v>
    <v>10.24</v>
    <v>10.62</v>
    <v>10.505000000000001</v>
    <v>10.464</v>
    <v>10.49</v>
    <v>10.73</v>
    <v>10.63</v>
    <v>10.7</v>
    <v>10.78</v>
    <v>10.81</v>
    <v>10.785</v>
    <v>10.84</v>
    <v>10.69</v>
    <v>10.5</v>
    <v>10.41</v>
    <v>10.489699999999999</v>
    <v>10.335000000000001</v>
    <v>10.28</v>
    <v>10.46</v>
    <v>10.28</v>
    <v>10.225</v>
    <v>10.365</v>
    <v>10.25</v>
    <v>10.35</v>
    <v>10.45</v>
    <v>10.65</v>
    <v>10.77</v>
    <v>10.59</v>
    <v>10.51</v>
    <v>10.67</v>
    <v>10.63</v>
    <v>10.53</v>
    <v>10.6</v>
    <v>10.75</v>
    <v>10.87</v>
    <v>10.765000000000001</v>
    <v>10.65</v>
    <v>10.92</v>
    <v>10.86</v>
    <v>11.38</v>
    <v>11.78</v>
    <v>11.96</v>
    <v>11.79</v>
    <v>11.85</v>
    <v>11.9</v>
    <v>11.97</v>
    <v>11.86</v>
    <v>11.895</v>
    <v>11.93</v>
    <v>11.45</v>
    <v>11.346500000000001</v>
    <v>11.24</v>
    <v>11.45</v>
    <v>11.29</v>
    <v>11.46</v>
    <v>11.429</v>
    <v>11.49</v>
    <v>11.49</v>
    <v>11.29</v>
    <v>11.125</v>
    <v>11.15</v>
    <v>10.92</v>
    <v>11.02</v>
    <v>11.1</v>
    <v>11.26</v>
    <v>11.385</v>
    <v>11.37</v>
    <v>11.57</v>
    <v>11.32</v>
    <v>11.49</v>
    <v>11.45</v>
    <v>11.52</v>
    <v>11.48</v>
    <v>11.73</v>
    <v>11.6</v>
    <v>11.43</v>
    <v>11.77</v>
    <v>11.85</v>
    <v>11.87</v>
    <v>11.98</v>
    <v>11.99</v>
    <v>11.83</v>
    <v>11.89</v>
    <v>11.725</v>
    <v>11.7</v>
    <v>11.91</v>
    <v>11.75</v>
    <v>11.68</v>
    <v>11.52</v>
    <v>11.79</v>
    <v>11.81</v>
    <v>11.755000000000001</v>
    <v>11.78</v>
    <v>11.88</v>
    <v>11.78</v>
    <v>11.8</v>
    <v>11.7</v>
    <v>11.93</v>
    <v>11.83</v>
    <v>11.65</v>
    <v>12.315</v>
    <v>12.12</v>
    <v>12.2</v>
    <v>12.28</v>
    <v>12.43</v>
    <v>12.67</v>
    <v>12.8</v>
    <v>12.53</v>
    <v>12.013999999999999</v>
    <v>11.77</v>
    <v>11.59</v>
    <v>11.63</v>
    <v>11.76</v>
    <v>11.78</v>
    <v>11.79</v>
    <v>12.01</v>
    <v>12.08</v>
    <v>12.63</v>
    <v>12.595000000000001</v>
    <v>12.49</v>
    <v>13.97</v>
    <v>13.8</v>
    <v>13.28</v>
    <v>13.39</v>
    <v>13.29</v>
    <v>13.17</v>
    <v>13.1</v>
    <v>12.93</v>
    <v>13.305</v>
    <v>13.26</v>
    <v>13.24</v>
    <v>13.234999999999999</v>
    <v>13.44</v>
    <v>13.5</v>
  </a>
  <a r="1" c="217">
    <v>9.4825999999999997</v>
    <v>9.3792000000000009</v>
    <v>9.7433999999999994</v>
    <v>9.5662000000000003</v>
    <v>9.4283999999999999</v>
    <v>9.4382999999999999</v>
    <v>9.4185999999999996</v>
    <v>9.5268999999999995</v>
    <v>9.7334999999999994</v>
    <v>9.7334999999999994</v>
    <v>9.8811999999999998</v>
    <v>10.077999999999999</v>
    <v>9.8614999999999995</v>
    <v>9.8123000000000005</v>
    <v>9.9304000000000006</v>
    <v>9.9402000000000008</v>
    <v>9.7630999999999997</v>
    <v>9.8712999999999997</v>
    <v>9.9009</v>
    <v>9.8320000000000007</v>
    <v>9.4481000000000002</v>
    <v>9.7483000000000004</v>
    <v>9.8024000000000004</v>
    <v>9.1135000000000002</v>
    <v>9.0348000000000006</v>
    <v>8.9756999999999998</v>
    <v>9.0249000000000006</v>
    <v>8.9559999999999995</v>
    <v>9.0937999999999999</v>
    <v>9.2415000000000003</v>
    <v>9.23</v>
    <v>9.2100000000000009</v>
    <v>9.2799999999999994</v>
    <v>9.23</v>
    <v>9.2100000000000009</v>
    <v>9.31</v>
    <v>9.44</v>
    <v>9.2899999999999991</v>
    <v>9.31</v>
    <v>9.32</v>
    <v>9.06</v>
    <v>9.1999999999999993</v>
    <v>9.42</v>
    <v>9.51</v>
    <v>9.77</v>
    <v>9.49</v>
    <v>9.4600000000000009</v>
    <v>9.5</v>
    <v>9.64</v>
    <v>9.74</v>
    <v>9.8800000000000008</v>
    <v>9.9450000000000003</v>
    <v>9.99</v>
    <v>9.83</v>
    <v>10.01</v>
    <v>10.17</v>
    <v>10.09</v>
    <v>9.82</v>
    <v>9.6199999999999992</v>
    <v>9.5449999999999999</v>
    <v>9.81</v>
    <v>9.82</v>
    <v>9.5299999999999994</v>
    <v>9.1999999999999993</v>
    <v>9</v>
    <v>8.5500000000000007</v>
    <v>8.4405999999999999</v>
    <v>8.8800000000000008</v>
    <v>9.0399999999999991</v>
    <v>9.1999999999999993</v>
    <v>9.3800000000000008</v>
    <v>9.2899999999999991</v>
    <v>9.4049999999999994</v>
    <v>9.35</v>
    <v>9.5299999999999994</v>
    <v>9.7100000000000009</v>
    <v>9.8149999999999995</v>
    <v>9.9700000000000006</v>
    <v>9.9701000000000004</v>
    <v>9.9250000000000007</v>
    <v>9.86</v>
    <v>10.02</v>
    <v>10.215</v>
    <v>10.095000000000001</v>
    <v>10.055</v>
    <v>10.119999999999999</v>
    <v>10.26</v>
    <v>10.35</v>
    <v>10.48</v>
    <v>10.42</v>
    <v>10.48</v>
    <v>10.55</v>
    <v>10.64</v>
    <v>10.63</v>
    <v>10.66</v>
    <v>10.45</v>
    <v>10.34</v>
    <v>10.29</v>
    <v>10.210000000000001</v>
    <v>10.15</v>
    <v>10.11</v>
    <v>10.119999999999999</v>
    <v>9.8800000000000008</v>
    <v>9.89</v>
    <v>10.18</v>
    <v>10.029999999999999</v>
    <v>10.1501</v>
    <v>10.29</v>
    <v>10.36</v>
    <v>10.610099999999999</v>
    <v>10.43</v>
    <v>10.38</v>
    <v>10.5</v>
    <v>10.38</v>
    <v>10.395</v>
    <v>10.46</v>
    <v>10.535</v>
    <v>10.72</v>
    <v>10.42</v>
    <v>10.47</v>
    <v>10.68</v>
    <v>10.685</v>
    <v>10.790100000000001</v>
    <v>11.37</v>
    <v>11.75</v>
    <v>11.48</v>
    <v>11.64</v>
    <v>11.76</v>
    <v>11.78</v>
    <v>11.71</v>
    <v>11.67</v>
    <v>11.524699999999999</v>
    <v>11.15</v>
    <v>11.11</v>
    <v>11.05</v>
    <v>11.21</v>
    <v>11.08</v>
    <v>11.28</v>
    <v>11.23</v>
    <v>11.2401</v>
    <v>11.25</v>
    <v>11.06</v>
    <v>10.82</v>
    <v>10.680099999999999</v>
    <v>10.68</v>
    <v>10.86</v>
    <v>10.9</v>
    <v>11.08</v>
    <v>11.1</v>
    <v>11.21</v>
    <v>11.06</v>
    <v>11.13</v>
    <v>11.19</v>
    <v>11.215</v>
    <v>11.41</v>
    <v>11.37</v>
    <v>11.49</v>
    <v>11.47</v>
    <v>11.195</v>
    <v>11.39</v>
    <v>11.68</v>
    <v>11.77</v>
    <v>11.81</v>
    <v>11.63</v>
    <v>11.72</v>
    <v>11.64</v>
    <v>11.57</v>
    <v>11.57</v>
    <v>11.66</v>
    <v>11.58</v>
    <v>11.45</v>
    <v>11.31</v>
    <v>11.43</v>
    <v>11.66</v>
    <v>11.61</v>
    <v>11.51</v>
    <v>11.55</v>
    <v>11.62</v>
    <v>11.585000000000001</v>
    <v>11.565</v>
    <v>11.695</v>
    <v>11.59</v>
    <v>11.37</v>
    <v>11.65</v>
    <v>11.89</v>
    <v>11.91</v>
    <v>12.04</v>
    <v>12.12</v>
    <v>12.2</v>
    <v>12.48</v>
    <v>11.74</v>
    <v>11.68</v>
    <v>11.48</v>
    <v>11.35</v>
    <v>11.46</v>
    <v>11.34</v>
    <v>11.64</v>
    <v>11.64</v>
    <v>11.72</v>
    <v>11.91</v>
    <v>12.07</v>
    <v>12.28</v>
    <v>12.19</v>
    <v>12.71</v>
    <v>13.21</v>
    <v>13.04</v>
    <v>13.07</v>
    <v>13.06</v>
    <v>12.99</v>
    <v>12.9</v>
    <v>12.75</v>
    <v>12.88</v>
    <v>12.98</v>
    <v>12.95</v>
    <v>13</v>
    <v>13.19</v>
    <v>13.3</v>
  </a>
  <a r="1" c="217">
    <v>68235708</v>
    <v>78487552</v>
    <v>64867023</v>
    <v>63407119</v>
    <v>62670278</v>
    <v>74552875</v>
    <v>67084313</v>
    <v>46150035</v>
    <v>69778271</v>
    <v>46505753</v>
    <v>61780110</v>
    <v>66726387</v>
    <v>65993172</v>
    <v>57145140</v>
    <v>43598838</v>
    <v>74257329</v>
    <v>93659287</v>
    <v>71111881</v>
    <v>70782906</v>
    <v>105393560</v>
    <v>133542924</v>
    <v>69821048</v>
    <v>126184045</v>
    <v>226339032</v>
    <v>143116839</v>
    <v>73328062</v>
    <v>55726170</v>
    <v>68421994</v>
    <v>73218126</v>
    <v>54642783</v>
    <v>62175764</v>
    <v>50191726</v>
    <v>39787792</v>
    <v>58437662</v>
    <v>72562637</v>
    <v>88876827</v>
    <v>87948083</v>
    <v>70518755</v>
    <v>137992574</v>
    <v>154435905</v>
    <v>167499954</v>
    <v>157774904</v>
    <v>136680746</v>
    <v>150644884</v>
    <v>167183809</v>
    <v>210126974</v>
    <v>129994592</v>
    <v>137747632</v>
    <v>91313759</v>
    <v>98583068</v>
    <v>102730930</v>
    <v>124697379</v>
    <v>109103733</v>
    <v>240638631</v>
    <v>102847191</v>
    <v>83674856</v>
    <v>140975582</v>
    <v>229032469</v>
    <v>136868327</v>
    <v>139951868</v>
    <v>135388684</v>
    <v>136908485</v>
    <v>220270980</v>
    <v>177466228</v>
    <v>274938497</v>
    <v>199286778</v>
    <v>199662988</v>
    <v>163535434</v>
    <v>146073701</v>
    <v>189955001</v>
    <v>125469023</v>
    <v>133804943</v>
    <v>129204565</v>
    <v>94138882</v>
    <v>121387081</v>
    <v>158691527</v>
    <v>87031042</v>
    <v>88682432</v>
    <v>77051524</v>
    <v>141980313</v>
    <v>136406235</v>
    <v>126532486</v>
    <v>82228655</v>
    <v>105766259</v>
    <v>131814035</v>
    <v>116936644</v>
    <v>107173416</v>
    <v>76350701</v>
    <v>102035764</v>
    <v>83671012</v>
    <v>84453089</v>
    <v>71096528</v>
    <v>64913005</v>
    <v>60195734</v>
    <v>61063828</v>
    <v>89090498</v>
    <v>94081143</v>
    <v>80519024</v>
    <v>89066847</v>
    <v>102335584</v>
    <v>101688883</v>
    <v>152191621</v>
    <v>170340783</v>
    <v>121584328</v>
    <v>123191229</v>
    <v>133269444</v>
    <v>105916694</v>
    <v>63638928</v>
    <v>87955501</v>
    <v>93094876</v>
    <v>76393291</v>
    <v>90106172</v>
    <v>75195179</v>
    <v>100969375</v>
    <v>82770168</v>
    <v>116743402</v>
    <v>77576511</v>
    <v>77244413</v>
    <v>91927326</v>
    <v>88416356</v>
    <v>182008244</v>
    <v>88472231</v>
    <v>140150738</v>
    <v>122331588</v>
    <v>60311463</v>
    <v>73842100</v>
    <v>74190215</v>
    <v>63886882</v>
    <v>67263023</v>
    <v>65340737</v>
    <v>62098074</v>
    <v>65101902</v>
    <v>107978145</v>
    <v>70345257</v>
    <v>68812553</v>
    <v>65515630</v>
    <v>79403755</v>
    <v>76163207</v>
    <v>63557796</v>
    <v>52312257</v>
    <v>54173647</v>
    <v>58371483</v>
    <v>79866858</v>
    <v>101090884</v>
    <v>73541489</v>
    <v>56696828</v>
    <v>58864252</v>
    <v>59519843</v>
    <v>71774972</v>
    <v>48465317</v>
    <v>84332966</v>
    <v>64021039</v>
    <v>63823345</v>
    <v>52469244</v>
    <v>46141355</v>
    <v>37113805</v>
    <v>58020177</v>
    <v>46469853</v>
    <v>51779301</v>
    <v>58538704</v>
    <v>45038754</v>
    <v>48613273</v>
    <v>40381477</v>
    <v>47723668</v>
    <v>44069734</v>
    <v>57704182</v>
    <v>47728660</v>
    <v>33136650</v>
    <v>47547831</v>
    <v>39734522</v>
    <v>41262743</v>
    <v>47021328</v>
    <v>64196118</v>
    <v>50100809</v>
    <v>47942431</v>
    <v>58064970</v>
    <v>68585945</v>
    <v>55040063</v>
    <v>71676341</v>
    <v>58432710</v>
    <v>55667552</v>
    <v>60193780</v>
    <v>67656337</v>
    <v>117681848</v>
    <v>83325012</v>
    <v>70765048</v>
    <v>73578427</v>
    <v>74530532</v>
    <v>100778558</v>
    <v>90544937</v>
    <v>154390154</v>
    <v>78469653</v>
    <v>70320483</v>
    <v>84595402</v>
    <v>73939384</v>
    <v>89117946</v>
    <v>88960726</v>
    <v>108701202</v>
    <v>107633522</v>
    <v>77878936</v>
    <v>297153158</v>
    <v>415062173</v>
    <v>479840312</v>
    <v>298366862</v>
    <v>140859004</v>
    <v>96738451</v>
    <v>127512240</v>
    <v>80766301</v>
    <v>68861988</v>
    <v>80419403</v>
    <v>70360611</v>
    <v>79134307</v>
    <v>82291049</v>
    <v>80011318</v>
    <v>62051157</v>
    <v>79742405</v>
    <v>61840461</v>
  </a>
</arrayData>
</file>

<file path=xl/richData/rdrichvalue.xml><?xml version="1.0" encoding="utf-8"?>
<rvData xmlns="http://schemas.microsoft.com/office/spreadsheetml/2017/richdata" count="895">
  <rv s="0">
    <fb>45659</fb>
    <v>0</v>
  </rv>
  <rv s="0">
    <fb>9.4972999999999992</fb>
    <v>1</v>
  </rv>
  <rv s="0">
    <fb>9.7531999999999996</fb>
    <v>1</v>
  </rv>
  <rv s="0">
    <fb>9.7974999999999994</fb>
    <v>1</v>
  </rv>
  <rv s="0">
    <fb>9.4825999999999997</fb>
    <v>1</v>
  </rv>
  <rv s="0">
    <fb>68235708</fb>
    <v>2</v>
  </rv>
  <rv s="0">
    <fb>45660</fb>
    <v>0</v>
  </rv>
  <rv s="0">
    <fb>9.7236999999999991</fb>
    <v>1</v>
  </rv>
  <rv s="0">
    <fb>9.5366999999999997</fb>
    <v>1</v>
  </rv>
  <rv s="0">
    <fb>9.7926000000000002</fb>
    <v>1</v>
  </rv>
  <rv s="0">
    <fb>9.3792000000000009</fb>
    <v>1</v>
  </rv>
  <rv s="0">
    <fb>78487552</fb>
    <v>2</v>
  </rv>
  <rv s="0">
    <fb>45663</fb>
    <v>0</v>
  </rv>
  <rv s="0">
    <fb>9.7630999999999997</fb>
    <v>1</v>
  </rv>
  <rv s="0">
    <fb>9.9009</fb>
    <v>1</v>
  </rv>
  <rv s="0">
    <fb>10.0288</fb>
    <v>1</v>
  </rv>
  <rv s="0">
    <fb>9.7433999999999994</fb>
    <v>1</v>
  </rv>
  <rv s="0">
    <fb>64867023</fb>
    <v>2</v>
  </rv>
  <rv s="0">
    <fb>45664</fb>
    <v>0</v>
  </rv>
  <rv s="0">
    <fb>9.6056000000000008</fb>
    <v>1</v>
  </rv>
  <rv s="0">
    <fb>9.8515999999999995</fb>
    <v>1</v>
  </rv>
  <rv s="0">
    <fb>9.5662000000000003</fb>
    <v>1</v>
  </rv>
  <rv s="0">
    <fb>63407119</fb>
    <v>2</v>
  </rv>
  <rv s="0">
    <fb>45665</fb>
    <v>0</v>
  </rv>
  <rv s="0">
    <fb>9.5859000000000005</fb>
    <v>1</v>
  </rv>
  <rv s="0">
    <fb>9.5958000000000006</fb>
    <v>1</v>
  </rv>
  <rv s="0">
    <fb>9.4283999999999999</fb>
    <v>1</v>
  </rv>
  <rv s="0">
    <fb>62670278</fb>
    <v>2</v>
  </rv>
  <rv s="0">
    <fb>45667</fb>
    <v>0</v>
  </rv>
  <rv s="0">
    <fb>9.5169999999999995</fb>
    <v>1</v>
  </rv>
  <rv s="0">
    <fb>9.6843000000000004</fb>
    <v>1</v>
  </rv>
  <rv s="0">
    <fb>9.4382999999999999</fb>
    <v>1</v>
  </rv>
  <rv s="0">
    <fb>74552875</fb>
    <v>2</v>
  </rv>
  <rv s="0">
    <fb>45670</fb>
    <v>0</v>
  </rv>
  <rv s="0">
    <fb>9.5564</fb>
    <v>1</v>
  </rv>
  <rv s="0">
    <fb>9.5070999999999994</fb>
    <v>1</v>
  </rv>
  <rv s="0">
    <fb>9.4185999999999996</fb>
    <v>1</v>
  </rv>
  <rv s="0">
    <fb>67084313</fb>
    <v>2</v>
  </rv>
  <rv s="0">
    <fb>45671</fb>
    <v>0</v>
  </rv>
  <rv s="0">
    <fb>9.6252999999999993</fb>
    <v>1</v>
  </rv>
  <rv s="0">
    <fb>9.6204000000000001</fb>
    <v>1</v>
  </rv>
  <rv s="0">
    <fb>9.6646000000000001</fb>
    <v>1</v>
  </rv>
  <rv s="0">
    <fb>9.5268999999999995</fb>
    <v>1</v>
  </rv>
  <rv s="0">
    <fb>46150035</fb>
    <v>2</v>
  </rv>
  <rv s="0">
    <fb>45672</fb>
    <v>0</v>
  </rv>
  <rv s="0">
    <fb>9.8123000000000005</fb>
    <v>1</v>
  </rv>
  <rv s="0">
    <fb>9.7334999999999994</fb>
    <v>1</v>
  </rv>
  <rv s="0">
    <fb>69778271</fb>
    <v>2</v>
  </rv>
  <rv s="0">
    <fb>45673</fb>
    <v>0</v>
  </rv>
  <rv s="0">
    <fb>46505753</fb>
    <v>2</v>
  </rv>
  <rv s="0">
    <fb>45674</fb>
    <v>0</v>
  </rv>
  <rv s="0">
    <fb>10.019</fb>
    <v>1</v>
  </rv>
  <rv s="0">
    <fb>9.9205000000000005</fb>
    <v>1</v>
  </rv>
  <rv s="0">
    <fb>10.048500000000001</fb>
    <v>1</v>
  </rv>
  <rv s="0">
    <fb>9.8811999999999998</fb>
    <v>1</v>
  </rv>
  <rv s="0">
    <fb>61780110</fb>
    <v>2</v>
  </rv>
  <rv s="0">
    <fb>45678</fb>
    <v>0</v>
  </rv>
  <rv s="0">
    <fb>10.265000000000001</fb>
    <v>1</v>
  </rv>
  <rv s="0">
    <fb>10.1371</fb>
    <v>1</v>
  </rv>
  <rv s="0">
    <fb>10.284700000000001</fb>
    <v>1</v>
  </rv>
  <rv s="0">
    <fb>10.077999999999999</fb>
    <v>1</v>
  </rv>
  <rv s="0">
    <fb>66726387</fb>
    <v>2</v>
  </rv>
  <rv s="0">
    <fb>45679</fb>
    <v>0</v>
  </rv>
  <rv s="0">
    <fb>9.8712999999999997</fb>
    <v>1</v>
  </rv>
  <rv s="0">
    <fb>10.0878</fb>
    <v>1</v>
  </rv>
  <rv s="0">
    <fb>9.8614999999999995</fb>
    <v>1</v>
  </rv>
  <rv s="0">
    <fb>65993172</fb>
    <v>2</v>
  </rv>
  <rv s="0">
    <fb>45680</fb>
    <v>0</v>
  </rv>
  <rv s="0">
    <fb>9.9992999999999999</fb>
    <v>1</v>
  </rv>
  <rv s="0">
    <fb>9.891</fb>
    <v>1</v>
  </rv>
  <rv s="0">
    <fb>10.0091</fb>
    <v>1</v>
  </rv>
  <rv s="0">
    <fb>57145140</fb>
    <v>2</v>
  </rv>
  <rv s="0">
    <fb>45681</fb>
    <v>0</v>
  </rv>
  <rv s="0">
    <fb>9.9598999999999993</fb>
    <v>1</v>
  </rv>
  <rv s="0">
    <fb>10.1469</fb>
    <v>1</v>
  </rv>
  <rv s="0">
    <fb>9.9304000000000006</fb>
    <v>1</v>
  </rv>
  <rv s="0">
    <fb>43598838</fb>
    <v>2</v>
  </rv>
  <rv s="0">
    <fb>45684</fb>
    <v>0</v>
  </rv>
  <rv s="0">
    <fb>10.2158</fb>
    <v>1</v>
  </rv>
  <rv s="0">
    <fb>9.9501000000000008</fb>
    <v>1</v>
  </rv>
  <rv s="0">
    <fb>10.2552</fb>
    <v>1</v>
  </rv>
  <rv s="0">
    <fb>9.9402000000000008</fb>
    <v>1</v>
  </rv>
  <rv s="0">
    <fb>74257329</fb>
    <v>2</v>
  </rv>
  <rv s="0">
    <fb>45685</fb>
    <v>0</v>
  </rv>
  <rv s="0">
    <fb>10.068199999999999</fb>
    <v>1</v>
  </rv>
  <rv s="0">
    <fb>93659287</fb>
    <v>2</v>
  </rv>
  <rv s="0">
    <fb>45686</fb>
    <v>0</v>
  </rv>
  <rv s="0">
    <fb>10.1272</fb>
    <v>1</v>
  </rv>
  <rv s="0">
    <fb>71111881</fb>
    <v>2</v>
  </rv>
  <rv s="0">
    <fb>45687</fb>
    <v>0</v>
  </rv>
  <rv s="0">
    <fb>10.0977</fb>
    <v>1</v>
  </rv>
  <rv s="0">
    <fb>10.2256</fb>
    <v>1</v>
  </rv>
  <rv s="0">
    <fb>70782906</fb>
    <v>2</v>
  </rv>
  <rv s="0">
    <fb>45688</fb>
    <v>0</v>
  </rv>
  <rv s="0">
    <fb>10.186299999999999</fb>
    <v>1</v>
  </rv>
  <rv s="0">
    <fb>9.8320000000000007</fb>
    <v>1</v>
  </rv>
  <rv s="0">
    <fb>105393560</fb>
    <v>2</v>
  </rv>
  <rv s="0">
    <fb>45691</fb>
    <v>0</v>
  </rv>
  <rv s="0">
    <fb>9.4481000000000002</fb>
    <v>1</v>
  </rv>
  <rv s="0">
    <fb>133542924</fb>
    <v>2</v>
  </rv>
  <rv s="0">
    <fb>45692</fb>
    <v>0</v>
  </rv>
  <rv s="0">
    <fb>9.7827000000000002</fb>
    <v>1</v>
  </rv>
  <rv s="0">
    <fb>9.7483000000000004</fb>
    <v>1</v>
  </rv>
  <rv s="0">
    <fb>69821048</fb>
    <v>2</v>
  </rv>
  <rv s="0">
    <fb>45693</fb>
    <v>0</v>
  </rv>
  <rv s="0">
    <fb>10.1518</fb>
    <v>1</v>
  </rv>
  <rv s="0">
    <fb>9.8024000000000004</fb>
    <v>1</v>
  </rv>
  <rv s="0">
    <fb>126184045</fb>
    <v>2</v>
  </rv>
  <rv s="0">
    <fb>45694</fb>
    <v>0</v>
  </rv>
  <rv s="0">
    <fb>9.1135000000000002</fb>
    <v>1</v>
  </rv>
  <rv s="0">
    <fb>9.3399000000000001</fb>
    <v>1</v>
  </rv>
  <rv s="0">
    <fb>9.4875000000000007</fb>
    <v>1</v>
  </rv>
  <rv s="0">
    <fb>226339032</fb>
    <v>2</v>
  </rv>
  <rv s="0">
    <fb>45695</fb>
    <v>0</v>
  </rv>
  <rv s="0">
    <fb>9.0937999999999999</fb>
    <v>1</v>
  </rv>
  <rv s="0">
    <fb>9.1823999999999995</fb>
    <v>1</v>
  </rv>
  <rv s="0">
    <fb>9.2020999999999997</fb>
    <v>1</v>
  </rv>
  <rv s="0">
    <fb>9.0348000000000006</fb>
    <v>1</v>
  </rv>
  <rv s="0">
    <fb>143116839</fb>
    <v>2</v>
  </rv>
  <rv s="0">
    <fb>45698</fb>
    <v>0</v>
  </rv>
  <rv s="0">
    <fb>9.1036999999999999</fb>
    <v>1</v>
  </rv>
  <rv s="0">
    <fb>9.1529000000000007</fb>
    <v>1</v>
  </rv>
  <rv s="0">
    <fb>8.9756999999999998</fb>
    <v>1</v>
  </rv>
  <rv s="0">
    <fb>73328062</fb>
    <v>2</v>
  </rv>
  <rv s="0">
    <fb>45699</fb>
    <v>0</v>
  </rv>
  <rv s="0">
    <fb>9.0642999999999994</fb>
    <v>1</v>
  </rv>
  <rv s="0">
    <fb>9.0249000000000006</fb>
    <v>1</v>
  </rv>
  <rv s="0">
    <fb>55726170</fb>
    <v>2</v>
  </rv>
  <rv s="0">
    <fb>45700</fb>
    <v>0</v>
  </rv>
  <rv s="0">
    <fb>9.0839999999999996</fb>
    <v>1</v>
  </rv>
  <rv s="0">
    <fb>9.1430000000000007</fb>
    <v>1</v>
  </rv>
  <rv s="0">
    <fb>8.9559999999999995</fb>
    <v>1</v>
  </rv>
  <rv s="0">
    <fb>68421994</fb>
    <v>2</v>
  </rv>
  <rv s="0">
    <fb>45701</fb>
    <v>0</v>
  </rv>
  <rv s="0">
    <fb>9.2611000000000008</fb>
    <v>1</v>
  </rv>
  <rv s="0">
    <fb>73218126</fb>
    <v>2</v>
  </rv>
  <rv s="0">
    <fb>45702</fb>
    <v>0</v>
  </rv>
  <rv s="0">
    <fb>9.33</fb>
    <v>1</v>
  </rv>
  <rv s="0">
    <fb>9.2807999999999993</fb>
    <v>1</v>
  </rv>
  <rv s="0">
    <fb>9.3596000000000004</fb>
    <v>1</v>
  </rv>
  <rv s="0">
    <fb>9.2415000000000003</fb>
    <v>1</v>
  </rv>
  <rv s="0">
    <fb>54642783</fb>
    <v>2</v>
  </rv>
  <rv s="0">
    <fb>45706</fb>
    <v>0</v>
  </rv>
  <rv s="0">
    <fb>9.2899999999999991</fb>
    <v>1</v>
  </rv>
  <rv s="0">
    <fb>9.32</fb>
    <v>1</v>
  </rv>
  <rv s="0">
    <fb>9.35</fb>
    <v>1</v>
  </rv>
  <rv s="0">
    <fb>9.23</fb>
    <v>1</v>
  </rv>
  <rv s="0">
    <fb>62175764</fb>
    <v>2</v>
  </rv>
  <rv s="0">
    <fb>45707</fb>
    <v>0</v>
  </rv>
  <rv s="0">
    <fb>9.34</fb>
    <v>1</v>
  </rv>
  <rv s="0">
    <fb>9.27</fb>
    <v>1</v>
  </rv>
  <rv s="0">
    <fb>9.39</fb>
    <v>1</v>
  </rv>
  <rv s="0">
    <fb>9.2100000000000009</fb>
    <v>1</v>
  </rv>
  <rv s="0">
    <fb>50191726</fb>
    <v>2</v>
  </rv>
  <rv s="0">
    <fb>45708</fb>
    <v>0</v>
  </rv>
  <rv s="0">
    <fb>9.3949999999999996</fb>
    <v>1</v>
  </rv>
  <rv s="0">
    <fb>9.2799999999999994</fb>
    <v>1</v>
  </rv>
  <rv s="0">
    <fb>39787792</fb>
    <v>2</v>
  </rv>
  <rv s="0">
    <fb>45709</fb>
    <v>0</v>
  </rv>
  <rv s="0">
    <fb>9.3800000000000008</fb>
    <v>1</v>
  </rv>
  <rv s="0">
    <fb>9.41</fb>
    <v>1</v>
  </rv>
  <rv s="0">
    <fb>58437662</fb>
    <v>2</v>
  </rv>
  <rv s="0">
    <fb>45712</fb>
    <v>0</v>
  </rv>
  <rv s="0">
    <fb>9.3049999999999997</fb>
    <v>1</v>
  </rv>
  <rv s="0">
    <fb>9.4</fb>
    <v>1</v>
  </rv>
  <rv s="0">
    <fb>72562637</fb>
    <v>2</v>
  </rv>
  <rv s="0">
    <fb>45713</fb>
    <v>0</v>
  </rv>
  <rv s="0">
    <fb>9.42</fb>
    <v>1</v>
  </rv>
  <rv s="0">
    <fb>9.3650000000000002</fb>
    <v>1</v>
  </rv>
  <rv s="0">
    <fb>9.49</fb>
    <v>1</v>
  </rv>
  <rv s="0">
    <fb>9.31</fb>
    <v>1</v>
  </rv>
  <rv s="0">
    <fb>88876827</fb>
    <v>2</v>
  </rv>
  <rv s="0">
    <fb>45714</fb>
    <v>0</v>
  </rv>
  <rv s="0">
    <fb>9.4700000000000006</fb>
    <v>1</v>
  </rv>
  <rv s="0">
    <fb>9.4600000000000009</fb>
    <v>1</v>
  </rv>
  <rv s="0">
    <fb>9.6199999999999992</fb>
    <v>1</v>
  </rv>
  <rv s="0">
    <fb>9.44</fb>
    <v>1</v>
  </rv>
  <rv s="0">
    <fb>87948083</fb>
    <v>2</v>
  </rv>
  <rv s="0">
    <fb>45715</fb>
    <v>0</v>
  </rv>
  <rv s="0">
    <fb>9.5299999999999994</fb>
    <v>1</v>
  </rv>
  <rv s="0">
    <fb>70518755</fb>
    <v>2</v>
  </rv>
  <rv s="0">
    <fb>45716</fb>
    <v>0</v>
  </rv>
  <rv s="0">
    <fb>9.5500000000000007</fb>
    <v>1</v>
  </rv>
  <rv s="0">
    <fb>9.3149999999999995</fb>
    <v>1</v>
  </rv>
  <rv s="0">
    <fb>9.69</fb>
    <v>1</v>
  </rv>
  <rv s="0">
    <fb>137992574</fb>
    <v>2</v>
  </rv>
  <rv s="0">
    <fb>45719</fb>
    <v>0</v>
  </rv>
  <rv s="0">
    <fb>9.7100000000000009</fb>
    <v>1</v>
  </rv>
  <rv s="0">
    <fb>9.82</fb>
    <v>1</v>
  </rv>
  <rv s="0">
    <fb>154435905</fb>
    <v>2</v>
  </rv>
  <rv s="0">
    <fb>45720</fb>
    <v>0</v>
  </rv>
  <rv s="0">
    <fb>9.1199999999999992</fb>
    <v>1</v>
  </rv>
  <rv s="0">
    <fb>9.06</fb>
    <v>1</v>
  </rv>
  <rv s="0">
    <fb>167499954</fb>
    <v>2</v>
  </rv>
  <rv s="0">
    <fb>45721</fb>
    <v>0</v>
  </rv>
  <rv s="0">
    <fb>9.65</fb>
    <v>1</v>
  </rv>
  <rv s="0">
    <fb>9.26</fb>
    <v>1</v>
  </rv>
  <rv s="0">
    <fb>9.67</fb>
    <v>1</v>
  </rv>
  <rv s="0">
    <fb>9.1999999999999993</fb>
    <v>1</v>
  </rv>
  <rv s="0">
    <fb>157774904</fb>
    <v>2</v>
  </rv>
  <rv s="0">
    <fb>45722</fb>
    <v>0</v>
  </rv>
  <rv s="0">
    <fb>9.61</fb>
    <v>1</v>
  </rv>
  <rv s="0">
    <fb>9.5150000000000006</fb>
    <v>1</v>
  </rv>
  <rv s="0">
    <fb>9.7200000000000006</fb>
    <v>1</v>
  </rv>
  <rv s="0">
    <fb>136680746</fb>
    <v>2</v>
  </rv>
  <rv s="0">
    <fb>45723</fb>
    <v>0</v>
  </rv>
  <rv s="0">
    <fb>9.9</fb>
    <v>1</v>
  </rv>
  <rv s="0">
    <fb>9.5399999999999991</fb>
    <v>1</v>
  </rv>
  <rv s="0">
    <fb>9.9600000000000009</fb>
    <v>1</v>
  </rv>
  <rv s="0">
    <fb>9.51</fb>
    <v>1</v>
  </rv>
  <rv s="0">
    <fb>150644884</fb>
    <v>2</v>
  </rv>
  <rv s="0">
    <fb>45726</fb>
    <v>0</v>
  </rv>
  <rv s="0">
    <fb>9.77</fb>
    <v>1</v>
  </rv>
  <rv s="0">
    <fb>10.14</fb>
    <v>1</v>
  </rv>
  <rv s="0">
    <fb>167183809</fb>
    <v>2</v>
  </rv>
  <rv s="0">
    <fb>45727</fb>
    <v>0</v>
  </rv>
  <rv s="0">
    <fb>9.92</fb>
    <v>1</v>
  </rv>
  <rv s="0">
    <fb>210126974</fb>
    <v>2</v>
  </rv>
  <rv s="0">
    <fb>45728</fb>
    <v>0</v>
  </rv>
  <rv s="0">
    <fb>9.59</fb>
    <v>1</v>
  </rv>
  <rv s="0">
    <fb>9.6999999999999993</fb>
    <v>1</v>
  </rv>
  <rv s="0">
    <fb>129994592</fb>
    <v>2</v>
  </rv>
  <rv s="0">
    <fb>45729</fb>
    <v>0</v>
  </rv>
  <rv s="0">
    <fb>9.57</fb>
    <v>1</v>
  </rv>
  <rv s="0">
    <fb>9.9499999999999993</fb>
    <v>1</v>
  </rv>
  <rv s="0">
    <fb>9.5</fb>
    <v>1</v>
  </rv>
  <rv s="0">
    <fb>137747632</fb>
    <v>2</v>
  </rv>
  <rv s="0">
    <fb>45730</fb>
    <v>0</v>
  </rv>
  <rv s="0">
    <fb>9.73</fb>
    <v>1</v>
  </rv>
  <rv s="0">
    <fb>9.66</fb>
    <v>1</v>
  </rv>
  <rv s="0">
    <fb>9.7899999999999991</fb>
    <v>1</v>
  </rv>
  <rv s="0">
    <fb>9.64</fb>
    <v>1</v>
  </rv>
  <rv s="0">
    <fb>91313759</fb>
    <v>2</v>
  </rv>
  <rv s="0">
    <fb>45733</fb>
    <v>0</v>
  </rv>
  <rv s="0">
    <fb>9.74</fb>
    <v>1</v>
  </rv>
  <rv s="0">
    <fb>9.98</fb>
    <v>1</v>
  </rv>
  <rv s="0">
    <fb>98583068</fb>
    <v>2</v>
  </rv>
  <rv s="0">
    <fb>45734</fb>
    <v>0</v>
  </rv>
  <rv s="0">
    <fb>10.039999999999999</fb>
    <v>1</v>
  </rv>
  <rv s="0">
    <fb>9.8800000000000008</fb>
    <v>1</v>
  </rv>
  <rv s="0">
    <fb>102730930</fb>
    <v>2</v>
  </rv>
  <rv s="0">
    <fb>45735</fb>
    <v>0</v>
  </rv>
  <rv s="0">
    <fb>10.17</fb>
    <v>1</v>
  </rv>
  <rv s="0">
    <fb>10.28</fb>
    <v>1</v>
  </rv>
  <rv s="0">
    <fb>9.9450000000000003</fb>
    <v>1</v>
  </rv>
  <rv s="0">
    <fb>124697379</fb>
    <v>2</v>
  </rv>
  <rv s="0">
    <fb>45736</fb>
    <v>0</v>
  </rv>
  <rv s="0">
    <fb>10.01</fb>
    <v>1</v>
  </rv>
  <rv s="0">
    <fb>10.07</fb>
    <v>1</v>
  </rv>
  <rv s="0">
    <fb>10.15</fb>
    <v>1</v>
  </rv>
  <rv s="0">
    <fb>9.99</fb>
    <v>1</v>
  </rv>
  <rv s="0">
    <fb>109103733</fb>
    <v>2</v>
  </rv>
  <rv s="0">
    <fb>45737</fb>
    <v>0</v>
  </rv>
  <rv s="0">
    <fb>10</fb>
    <v>1</v>
  </rv>
  <rv s="0">
    <fb>9.9149999999999991</fb>
    <v>1</v>
  </rv>
  <rv s="0">
    <fb>10.119999999999999</fb>
    <v>1</v>
  </rv>
  <rv s="0">
    <fb>9.83</fb>
    <v>1</v>
  </rv>
  <rv s="0">
    <fb>240638631</fb>
    <v>2</v>
  </rv>
  <rv s="0">
    <fb>45740</fb>
    <v>0</v>
  </rv>
  <rv s="0">
    <fb>10.25</fb>
    <v>1</v>
  </rv>
  <rv s="0">
    <fb>102847191</fb>
    <v>2</v>
  </rv>
  <rv s="0">
    <fb>45741</fb>
    <v>0</v>
  </rv>
  <rv s="0">
    <fb>10.29</fb>
    <v>1</v>
  </rv>
  <rv s="0">
    <fb>10.3</fb>
    <v>1</v>
  </rv>
  <rv s="0">
    <fb>10.35</fb>
    <v>1</v>
  </rv>
  <rv s="0">
    <fb>83674856</fb>
    <v>2</v>
  </rv>
  <rv s="0">
    <fb>45742</fb>
    <v>0</v>
  </rv>
  <rv s="0">
    <fb>10.27</fb>
    <v>1</v>
  </rv>
  <rv s="0">
    <fb>10.09</fb>
    <v>1</v>
  </rv>
  <rv s="0">
    <fb>140975582</fb>
    <v>2</v>
  </rv>
  <rv s="0">
    <fb>45743</fb>
    <v>0</v>
  </rv>
  <rv s="0">
    <fb>10.26</fb>
    <v>1</v>
  </rv>
  <rv s="0">
    <fb>10.4</fb>
    <v>1</v>
  </rv>
  <rv s="0">
    <fb>229032469</fb>
    <v>2</v>
  </rv>
  <rv s="0">
    <fb>45744</fb>
    <v>0</v>
  </rv>
  <rv s="0">
    <fb>9.84</fb>
    <v>1</v>
  </rv>
  <rv s="0">
    <fb>9.89</fb>
    <v>1</v>
  </rv>
  <rv s="0">
    <fb>136868327</fb>
    <v>2</v>
  </rv>
  <rv s="0">
    <fb>45747</fb>
    <v>0</v>
  </rv>
  <rv s="0">
    <fb>10.029999999999999</fb>
    <v>1</v>
  </rv>
  <rv s="0">
    <fb>9.5749999999999993</fb>
    <v>1</v>
  </rv>
  <rv s="0">
    <fb>10.11</fb>
    <v>1</v>
  </rv>
  <rv s="0">
    <fb>9.5449999999999999</fb>
    <v>1</v>
  </rv>
  <rv s="0">
    <fb>139951868</fb>
    <v>2</v>
  </rv>
  <rv s="0">
    <fb>45748</fb>
    <v>0</v>
  </rv>
  <rv s="0">
    <fb>9.94</fb>
    <v>1</v>
  </rv>
  <rv s="0">
    <fb>10.1</fb>
    <v>1</v>
  </rv>
  <rv s="0">
    <fb>9.81</fb>
    <v>1</v>
  </rv>
  <rv s="0">
    <fb>135388684</fb>
    <v>2</v>
  </rv>
  <rv s="0">
    <fb>45749</fb>
    <v>0</v>
  </rv>
  <rv s="0">
    <fb>9.8350000000000009</fb>
    <v>1</v>
  </rv>
  <rv s="0">
    <fb>136908485</fb>
    <v>2</v>
  </rv>
  <rv s="0">
    <fb>45750</fb>
    <v>0</v>
  </rv>
  <rv s="0">
    <fb>9.9949999999999992</fb>
    <v>1</v>
  </rv>
  <rv s="0">
    <fb>10.199999999999999</fb>
    <v>1</v>
  </rv>
  <rv s="0">
    <fb>220270980</fb>
    <v>2</v>
  </rv>
  <rv s="0">
    <fb>45751</fb>
    <v>0</v>
  </rv>
  <rv s="0">
    <fb>9.58</fb>
    <v>1</v>
  </rv>
  <rv s="0">
    <fb>177466228</fb>
    <v>2</v>
  </rv>
  <rv s="0">
    <fb>45754</fb>
    <v>0</v>
  </rv>
  <rv s="0">
    <fb>9.24</fb>
    <v>1</v>
  </rv>
  <rv s="0">
    <fb>9</fb>
    <v>1</v>
  </rv>
  <rv s="0">
    <fb>274938497</fb>
    <v>2</v>
  </rv>
  <rv s="0">
    <fb>45755</fb>
    <v>0</v>
  </rv>
  <rv s="0">
    <fb>8.69</fb>
    <v>1</v>
  </rv>
  <rv s="0">
    <fb>9.52</fb>
    <v>1</v>
  </rv>
  <rv s="0">
    <fb>8.5500000000000007</fb>
    <v>1</v>
  </rv>
  <rv s="0">
    <fb>199286778</fb>
    <v>2</v>
  </rv>
  <rv s="0">
    <fb>45756</fb>
    <v>0</v>
  </rv>
  <rv s="0">
    <fb>8.5</fb>
    <v>1</v>
  </rv>
  <rv s="0">
    <fb>8.4405999999999999</fb>
    <v>1</v>
  </rv>
  <rv s="0">
    <fb>199662988</fb>
    <v>2</v>
  </rv>
  <rv s="0">
    <fb>45757</fb>
    <v>0</v>
  </rv>
  <rv s="0">
    <fb>9.14</fb>
    <v>1</v>
  </rv>
  <rv s="0">
    <fb>9.1</fb>
    <v>1</v>
  </rv>
  <rv s="0">
    <fb>8.8800000000000008</fb>
    <v>1</v>
  </rv>
  <rv s="0">
    <fb>163535434</fb>
    <v>2</v>
  </rv>
  <rv s="0">
    <fb>45758</fb>
    <v>0</v>
  </rv>
  <rv s="0">
    <fb>9.11</fb>
    <v>1</v>
  </rv>
  <rv s="0">
    <fb>9.0399999999999991</fb>
    <v>1</v>
  </rv>
  <rv s="0">
    <fb>146073701</fb>
    <v>2</v>
  </rv>
  <rv s="0">
    <fb>45761</fb>
    <v>0</v>
  </rv>
  <rv s="0">
    <fb>189955001</fb>
    <v>2</v>
  </rv>
  <rv s="0">
    <fb>45762</fb>
    <v>0</v>
  </rv>
  <rv s="0">
    <fb>9.4499999999999993</fb>
    <v>1</v>
  </rv>
  <rv s="0">
    <fb>9.6150000000000002</fb>
    <v>1</v>
  </rv>
  <rv s="0">
    <fb>9.6300000000000008</fb>
    <v>1</v>
  </rv>
  <rv s="0">
    <fb>125469023</fb>
    <v>2</v>
  </rv>
  <rv s="0">
    <fb>45763</fb>
    <v>0</v>
  </rv>
  <rv s="0">
    <fb>133804943</fb>
    <v>2</v>
  </rv>
  <rv s="0">
    <fb>45764</fb>
    <v>0</v>
  </rv>
  <rv s="0">
    <fb>9.4049999999999994</fb>
    <v>1</v>
  </rv>
  <rv s="0">
    <fb>129204565</fb>
    <v>2</v>
  </rv>
  <rv s="0">
    <fb>45768</fb>
    <v>0</v>
  </rv>
  <rv s="0">
    <fb>94138882</fb>
    <v>2</v>
  </rv>
  <rv s="0">
    <fb>45769</fb>
    <v>0</v>
  </rv>
  <rv s="0">
    <fb>121387081</fb>
    <v>2</v>
  </rv>
  <rv s="0">
    <fb>45770</fb>
    <v>0</v>
  </rv>
  <rv s="0">
    <fb>9.7799999999999994</fb>
    <v>1</v>
  </rv>
  <rv s="0">
    <fb>10.0054</fb>
    <v>1</v>
  </rv>
  <rv s="0">
    <fb>158691527</fb>
    <v>2</v>
  </rv>
  <rv s="0">
    <fb>45771</fb>
    <v>0</v>
  </rv>
  <rv s="0">
    <fb>10.06</fb>
    <v>1</v>
  </rv>
  <rv s="0">
    <fb>9.8699999999999992</fb>
    <v>1</v>
  </rv>
  <rv s="0">
    <fb>9.8149999999999995</fb>
    <v>1</v>
  </rv>
  <rv s="0">
    <fb>87031042</fb>
    <v>2</v>
  </rv>
  <rv s="0">
    <fb>45772</fb>
    <v>0</v>
  </rv>
  <rv s="0">
    <fb>10.045</fb>
    <v>1</v>
  </rv>
  <rv s="0">
    <fb>9.9700000000000006</fb>
    <v>1</v>
  </rv>
  <rv s="0">
    <fb>88682432</fb>
    <v>2</v>
  </rv>
  <rv s="0">
    <fb>45775</fb>
    <v>0</v>
  </rv>
  <rv s="0">
    <fb>10.02</fb>
    <v>1</v>
  </rv>
  <rv s="0">
    <fb>10.18</fb>
    <v>1</v>
  </rv>
  <rv s="0">
    <fb>9.9701000000000004</fb>
    <v>1</v>
  </rv>
  <rv s="0">
    <fb>77051524</fb>
    <v>2</v>
  </rv>
  <rv s="0">
    <fb>45776</fb>
    <v>0</v>
  </rv>
  <rv s="0">
    <fb>10.19</fb>
    <v>1</v>
  </rv>
  <rv s="0">
    <fb>9.9250000000000007</fb>
    <v>1</v>
  </rv>
  <rv s="0">
    <fb>141980313</fb>
    <v>2</v>
  </rv>
  <rv s="0">
    <fb>45777</fb>
    <v>0</v>
  </rv>
  <rv s="0">
    <fb>10.130000000000001</fb>
    <v>1</v>
  </rv>
  <rv s="0">
    <fb>9.86</fb>
    <v>1</v>
  </rv>
  <rv s="0">
    <fb>136406235</fb>
    <v>2</v>
  </rv>
  <rv s="0">
    <fb>45778</fb>
    <v>0</v>
  </rv>
  <rv s="0">
    <fb>10.32</fb>
    <v>1</v>
  </rv>
  <rv s="0">
    <fb>126532486</fb>
    <v>2</v>
  </rv>
  <rv s="0">
    <fb>45779</fb>
    <v>0</v>
  </rv>
  <rv s="0">
    <fb>10.39</fb>
    <v>1</v>
  </rv>
  <rv s="0">
    <fb>10.215</fb>
    <v>1</v>
  </rv>
  <rv s="0">
    <fb>82228655</fb>
    <v>2</v>
  </rv>
  <rv s="0">
    <fb>45782</fb>
    <v>0</v>
  </rv>
  <rv s="0">
    <fb>10.23</fb>
    <v>1</v>
  </rv>
  <rv s="0">
    <fb>10.24</fb>
    <v>1</v>
  </rv>
  <rv s="0">
    <fb>10.095000000000001</fb>
    <v>1</v>
  </rv>
  <rv s="0">
    <fb>105766259</fb>
    <v>2</v>
  </rv>
  <rv s="0">
    <fb>45783</fb>
    <v>0</v>
  </rv>
  <rv s="0">
    <fb>10.44</fb>
    <v>1</v>
  </rv>
  <rv s="0">
    <fb>10.62</fb>
    <v>1</v>
  </rv>
  <rv s="0">
    <fb>10.055</fb>
    <v>1</v>
  </rv>
  <rv s="0">
    <fb>131814035</fb>
    <v>2</v>
  </rv>
  <rv s="0">
    <fb>45784</fb>
    <v>0</v>
  </rv>
  <rv s="0">
    <fb>10.46</fb>
    <v>1</v>
  </rv>
  <rv s="0">
    <fb>10.505000000000001</fb>
    <v>1</v>
  </rv>
  <rv s="0">
    <fb>116936644</fb>
    <v>2</v>
  </rv>
  <rv s="0">
    <fb>45785</fb>
    <v>0</v>
  </rv>
  <rv s="0">
    <fb>10.34</fb>
    <v>1</v>
  </rv>
  <rv s="0">
    <fb>10.464</fb>
    <v>1</v>
  </rv>
  <rv s="0">
    <fb>107173416</fb>
    <v>2</v>
  </rv>
  <rv s="0">
    <fb>45786</fb>
    <v>0</v>
  </rv>
  <rv s="0">
    <fb>10.43</fb>
    <v>1</v>
  </rv>
  <rv s="0">
    <fb>10.355</fb>
    <v>1</v>
  </rv>
  <rv s="0">
    <fb>10.49</fb>
    <v>1</v>
  </rv>
  <rv s="0">
    <fb>76350701</fb>
    <v>2</v>
  </rv>
  <rv s="0">
    <fb>45789</fb>
    <v>0</v>
  </rv>
  <rv s="0">
    <fb>10.55</fb>
    <v>1</v>
  </rv>
  <rv s="0">
    <fb>10.56</fb>
    <v>1</v>
  </rv>
  <rv s="0">
    <fb>10.73</fb>
    <v>1</v>
  </rv>
  <rv s="0">
    <fb>10.48</fb>
    <v>1</v>
  </rv>
  <rv s="0">
    <fb>102035764</fb>
    <v>2</v>
  </rv>
  <rv s="0">
    <fb>45790</fb>
    <v>0</v>
  </rv>
  <rv s="0">
    <fb>10.6</fb>
    <v>1</v>
  </rv>
  <rv s="0">
    <fb>10.595000000000001</fb>
    <v>1</v>
  </rv>
  <rv s="0">
    <fb>10.63</fb>
    <v>1</v>
  </rv>
  <rv s="0">
    <fb>10.42</fb>
    <v>1</v>
  </rv>
  <rv s="0">
    <fb>83671012</fb>
    <v>2</v>
  </rv>
  <rv s="0">
    <fb>45791</fb>
    <v>0</v>
  </rv>
  <rv s="0">
    <fb>10.65</fb>
    <v>1</v>
  </rv>
  <rv s="0">
    <fb>10.57</fb>
    <v>1</v>
  </rv>
  <rv s="0">
    <fb>10.7</fb>
    <v>1</v>
  </rv>
  <rv s="0">
    <fb>84453089</fb>
    <v>2</v>
  </rv>
  <rv s="0">
    <fb>45792</fb>
    <v>0</v>
  </rv>
  <rv s="0">
    <fb>10.75</fb>
    <v>1</v>
  </rv>
  <rv s="0">
    <fb>10.59</fb>
    <v>1</v>
  </rv>
  <rv s="0">
    <fb>10.78</fb>
    <v>1</v>
  </rv>
  <rv s="0">
    <fb>71096528</fb>
    <v>2</v>
  </rv>
  <rv s="0">
    <fb>45793</fb>
    <v>0</v>
  </rv>
  <rv s="0">
    <fb>10.8</fb>
    <v>1</v>
  </rv>
  <rv s="0">
    <fb>10.77</fb>
    <v>1</v>
  </rv>
  <rv s="0">
    <fb>10.81</fb>
    <v>1</v>
  </rv>
  <rv s="0">
    <fb>10.64</fb>
    <v>1</v>
  </rv>
  <rv s="0">
    <fb>64913005</fb>
    <v>2</v>
  </rv>
  <rv s="0">
    <fb>45796</fb>
    <v>0</v>
  </rv>
  <rv s="0">
    <fb>10.69</fb>
    <v>1</v>
  </rv>
  <rv s="0">
    <fb>10.785</fb>
    <v>1</v>
  </rv>
  <rv s="0">
    <fb>60195734</fb>
    <v>2</v>
  </rv>
  <rv s="0">
    <fb>45797</fb>
    <v>0</v>
  </rv>
  <rv s="0">
    <fb>10.72</fb>
    <v>1</v>
  </rv>
  <rv s="0">
    <fb>10.79</fb>
    <v>1</v>
  </rv>
  <rv s="0">
    <fb>10.84</fb>
    <v>1</v>
  </rv>
  <rv s="0">
    <fb>10.66</fb>
    <v>1</v>
  </rv>
  <rv s="0">
    <fb>61063828</fb>
    <v>2</v>
  </rv>
  <rv s="0">
    <fb>45798</fb>
    <v>0</v>
  </rv>
  <rv s="0">
    <fb>10.45</fb>
    <v>1</v>
  </rv>
  <rv s="0">
    <fb>89090498</fb>
    <v>2</v>
  </rv>
  <rv s="0">
    <fb>45799</fb>
    <v>0</v>
  </rv>
  <rv s="0">
    <fb>10.5</fb>
    <v>1</v>
  </rv>
  <rv s="0">
    <fb>94081143</fb>
    <v>2</v>
  </rv>
  <rv s="0">
    <fb>45800</fb>
    <v>0</v>
  </rv>
  <rv s="0">
    <fb>10.36</fb>
    <v>1</v>
  </rv>
  <rv s="0">
    <fb>10.41</fb>
    <v>1</v>
  </rv>
  <rv s="0">
    <fb>80519024</fb>
    <v>2</v>
  </rv>
  <rv s="0">
    <fb>45804</fb>
    <v>0</v>
  </rv>
  <rv s="0">
    <fb>10.31</fb>
    <v>1</v>
  </rv>
  <rv s="0">
    <fb>10.489699999999999</fb>
    <v>1</v>
  </rv>
  <rv s="0">
    <fb>10.210000000000001</fb>
    <v>1</v>
  </rv>
  <rv s="0">
    <fb>89066847</fb>
    <v>2</v>
  </rv>
  <rv s="0">
    <fb>45805</fb>
    <v>0</v>
  </rv>
  <rv s="0">
    <fb>10.335000000000001</fb>
    <v>1</v>
  </rv>
  <rv s="0">
    <fb>102335584</fb>
    <v>2</v>
  </rv>
  <rv s="0">
    <fb>45806</fb>
    <v>0</v>
  </rv>
  <rv s="0">
    <fb>10.220000000000001</fb>
    <v>1</v>
  </rv>
  <rv s="0">
    <fb>101688883</fb>
    <v>2</v>
  </rv>
  <rv s="0">
    <fb>45807</fb>
    <v>0</v>
  </rv>
  <rv s="0">
    <fb>10.38</fb>
    <v>1</v>
  </rv>
  <rv s="0">
    <fb>152191621</fb>
    <v>2</v>
  </rv>
  <rv s="0">
    <fb>45810</fb>
    <v>0</v>
  </rv>
  <rv s="0">
    <fb>170340783</fb>
    <v>2</v>
  </rv>
  <rv s="0">
    <fb>45811</fb>
    <v>0</v>
  </rv>
  <rv s="0">
    <fb>10.225</fb>
    <v>1</v>
  </rv>
  <rv s="0">
    <fb>121584328</fb>
    <v>2</v>
  </rv>
  <rv s="0">
    <fb>45812</fb>
    <v>0</v>
  </rv>
  <rv s="0">
    <fb>10.365</fb>
    <v>1</v>
  </rv>
  <rv s="0">
    <fb>123191229</fb>
    <v>2</v>
  </rv>
  <rv s="0">
    <fb>45813</fb>
    <v>0</v>
  </rv>
  <rv s="0">
    <fb>133269444</fb>
    <v>2</v>
  </rv>
  <rv s="0">
    <fb>45814</fb>
    <v>0</v>
  </rv>
  <rv s="0">
    <fb>10.16</fb>
    <v>1</v>
  </rv>
  <rv s="0">
    <fb>10.1501</fb>
    <v>1</v>
  </rv>
  <rv s="0">
    <fb>105916694</fb>
    <v>2</v>
  </rv>
  <rv s="0">
    <fb>45817</fb>
    <v>0</v>
  </rv>
  <rv s="0">
    <fb>63638928</fb>
    <v>2</v>
  </rv>
  <rv s="0">
    <fb>45818</fb>
    <v>0</v>
  </rv>
  <rv s="0">
    <fb>87955501</fb>
    <v>2</v>
  </rv>
  <rv s="0">
    <fb>45819</fb>
    <v>0</v>
  </rv>
  <rv s="0">
    <fb>10.610099999999999</fb>
    <v>1</v>
  </rv>
  <rv s="0">
    <fb>93094876</fb>
    <v>2</v>
  </rv>
  <rv s="0">
    <fb>45820</fb>
    <v>0</v>
  </rv>
  <rv s="0">
    <fb>10.53</fb>
    <v>1</v>
  </rv>
  <rv s="0">
    <fb>10.58</fb>
    <v>1</v>
  </rv>
  <rv s="0">
    <fb>76393291</fb>
    <v>2</v>
  </rv>
  <rv s="0">
    <fb>45821</fb>
    <v>0</v>
  </rv>
  <rv s="0">
    <fb>10.47</fb>
    <v>1</v>
  </rv>
  <rv s="0">
    <fb>10.51</fb>
    <v>1</v>
  </rv>
  <rv s="0">
    <fb>90106172</fb>
    <v>2</v>
  </rv>
  <rv s="0">
    <fb>45824</fb>
    <v>0</v>
  </rv>
  <rv s="0">
    <fb>10.67</fb>
    <v>1</v>
  </rv>
  <rv s="0">
    <fb>75195179</fb>
    <v>2</v>
  </rv>
  <rv s="0">
    <fb>45825</fb>
    <v>0</v>
  </rv>
  <rv s="0">
    <fb>100969375</fb>
    <v>2</v>
  </rv>
  <rv s="0">
    <fb>45826</fb>
    <v>0</v>
  </rv>
  <rv s="0">
    <fb>10.395</fb>
    <v>1</v>
  </rv>
  <rv s="0">
    <fb>82770168</fb>
    <v>2</v>
  </rv>
  <rv s="0">
    <fb>45828</fb>
    <v>0</v>
  </rv>
  <rv s="0">
    <fb>116743402</fb>
    <v>2</v>
  </rv>
  <rv s="0">
    <fb>45831</fb>
    <v>0</v>
  </rv>
  <rv s="0">
    <fb>10.535</fb>
    <v>1</v>
  </rv>
  <rv s="0">
    <fb>77576511</fb>
    <v>2</v>
  </rv>
  <rv s="0">
    <fb>45832</fb>
    <v>0</v>
  </rv>
  <rv s="0">
    <fb>10.87</fb>
    <v>1</v>
  </rv>
  <rv s="0">
    <fb>77244413</fb>
    <v>2</v>
  </rv>
  <rv s="0">
    <fb>45833</fb>
    <v>0</v>
  </rv>
  <rv s="0">
    <fb>10.76</fb>
    <v>1</v>
  </rv>
  <rv s="0">
    <fb>10.765000000000001</fb>
    <v>1</v>
  </rv>
  <rv s="0">
    <fb>91927326</fb>
    <v>2</v>
  </rv>
  <rv s="0">
    <fb>45834</fb>
    <v>0</v>
  </rv>
  <rv s="0">
    <fb>10.4999</fb>
    <v>1</v>
  </rv>
  <rv s="0">
    <fb>88416356</fb>
    <v>2</v>
  </rv>
  <rv s="0">
    <fb>45835</fb>
    <v>0</v>
  </rv>
  <rv s="0">
    <fb>10.92</fb>
    <v>1</v>
  </rv>
  <rv s="0">
    <fb>10.68</fb>
    <v>1</v>
  </rv>
  <rv s="0">
    <fb>182008244</fb>
    <v>2</v>
  </rv>
  <rv s="0">
    <fb>45838</fb>
    <v>0</v>
  </rv>
  <rv s="0">
    <fb>10.85</fb>
    <v>1</v>
  </rv>
  <rv s="0">
    <fb>10.86</fb>
    <v>1</v>
  </rv>
  <rv s="0">
    <fb>10.685</fb>
    <v>1</v>
  </rv>
  <rv s="0">
    <fb>88472231</fb>
    <v>2</v>
  </rv>
  <rv s="0">
    <fb>45839</fb>
    <v>0</v>
  </rv>
  <rv s="0">
    <fb>11.35</fb>
    <v>1</v>
  </rv>
  <rv s="0">
    <fb>11.38</fb>
    <v>1</v>
  </rv>
  <rv s="0">
    <fb>10.790100000000001</fb>
    <v>1</v>
  </rv>
  <rv s="0">
    <fb>140150738</fb>
    <v>2</v>
  </rv>
  <rv s="0">
    <fb>45840</fb>
    <v>0</v>
  </rv>
  <rv s="0">
    <fb>11.77</fb>
    <v>1</v>
  </rv>
  <rv s="0">
    <fb>11.78</fb>
    <v>1</v>
  </rv>
  <rv s="0">
    <fb>11.37</fb>
    <v>1</v>
  </rv>
  <rv s="0">
    <fb>122331588</fb>
    <v>2</v>
  </rv>
  <rv s="0">
    <fb>45841</fb>
    <v>0</v>
  </rv>
  <rv s="0">
    <fb>11.81</fb>
    <v>1</v>
  </rv>
  <rv s="0">
    <fb>11.75</fb>
    <v>1</v>
  </rv>
  <rv s="0">
    <fb>11.96</fb>
    <v>1</v>
  </rv>
  <rv s="0">
    <fb>60311463</fb>
    <v>2</v>
  </rv>
  <rv s="0">
    <fb>45845</fb>
    <v>0</v>
  </rv>
  <rv s="0">
    <fb>11.59</fb>
    <v>1</v>
  </rv>
  <rv s="0">
    <fb>11.6</fb>
    <v>1</v>
  </rv>
  <rv s="0">
    <fb>11.79</fb>
    <v>1</v>
  </rv>
  <rv s="0">
    <fb>11.48</fb>
    <v>1</v>
  </rv>
  <rv s="0">
    <fb>73842100</fb>
    <v>2</v>
  </rv>
  <rv s="0">
    <fb>45846</fb>
    <v>0</v>
  </rv>
  <rv s="0">
    <fb>11.68</fb>
    <v>1</v>
  </rv>
  <rv s="0">
    <fb>11.65</fb>
    <v>1</v>
  </rv>
  <rv s="0">
    <fb>11.85</fb>
    <v>1</v>
  </rv>
  <rv s="0">
    <fb>11.64</fb>
    <v>1</v>
  </rv>
  <rv s="0">
    <fb>74190215</fb>
    <v>2</v>
  </rv>
  <rv s="0">
    <fb>45847</fb>
    <v>0</v>
  </rv>
  <rv s="0">
    <fb>11.83</fb>
    <v>1</v>
  </rv>
  <rv s="0">
    <fb>11.9</fb>
    <v>1</v>
  </rv>
  <rv s="0">
    <fb>11.76</fb>
    <v>1</v>
  </rv>
  <rv s="0">
    <fb>63886882</fb>
    <v>2</v>
  </rv>
  <rv s="0">
    <fb>45848</fb>
    <v>0</v>
  </rv>
  <rv s="0">
    <fb>11.91</fb>
    <v>1</v>
  </rv>
  <rv s="0">
    <fb>11.86</fb>
    <v>1</v>
  </rv>
  <rv s="0">
    <fb>11.97</fb>
    <v>1</v>
  </rv>
  <rv s="0">
    <fb>67263023</fb>
    <v>2</v>
  </rv>
  <rv s="0">
    <fb>45849</fb>
    <v>0</v>
  </rv>
  <rv s="0">
    <fb>11.71</fb>
    <v>1</v>
  </rv>
  <rv s="0">
    <fb>65340737</fb>
    <v>2</v>
  </rv>
  <rv s="0">
    <fb>45852</fb>
    <v>0</v>
  </rv>
  <rv s="0">
    <fb>11.88</fb>
    <v>1</v>
  </rv>
  <rv s="0">
    <fb>11.895</fb>
    <v>1</v>
  </rv>
  <rv s="0">
    <fb>11.67</fb>
    <v>1</v>
  </rv>
  <rv s="0">
    <fb>62098074</fb>
    <v>2</v>
  </rv>
  <rv s="0">
    <fb>45853</fb>
    <v>0</v>
  </rv>
  <rv s="0">
    <fb>11.57</fb>
    <v>1</v>
  </rv>
  <rv s="0">
    <fb>11.93</fb>
    <v>1</v>
  </rv>
  <rv s="0">
    <fb>11.524699999999999</fb>
    <v>1</v>
  </rv>
  <rv s="0">
    <fb>65101902</fb>
    <v>2</v>
  </rv>
  <rv s="0">
    <fb>45854</fb>
    <v>0</v>
  </rv>
  <rv s="0">
    <fb>11.24</fb>
    <v>1</v>
  </rv>
  <rv s="0">
    <fb>11.45</fb>
    <v>1</v>
  </rv>
  <rv s="0">
    <fb>11.15</fb>
    <v>1</v>
  </rv>
  <rv s="0">
    <fb>107978145</fb>
    <v>2</v>
  </rv>
  <rv s="0">
    <fb>45855</fb>
    <v>0</v>
  </rv>
  <rv s="0">
    <fb>11.19</fb>
    <v>1</v>
  </rv>
  <rv s="0">
    <fb>11.346500000000001</fb>
    <v>1</v>
  </rv>
  <rv s="0">
    <fb>11.11</fb>
    <v>1</v>
  </rv>
  <rv s="0">
    <fb>70345257</fb>
    <v>2</v>
  </rv>
  <rv s="0">
    <fb>45856</fb>
    <v>0</v>
  </rv>
  <rv s="0">
    <fb>11.16</fb>
    <v>1</v>
  </rv>
  <rv s="0">
    <fb>11.17</fb>
    <v>1</v>
  </rv>
  <rv s="0">
    <fb>11.05</fb>
    <v>1</v>
  </rv>
  <rv s="0">
    <fb>68812553</fb>
    <v>2</v>
  </rv>
  <rv s="0">
    <fb>45859</fb>
    <v>0</v>
  </rv>
  <rv s="0">
    <fb>11.31</fb>
    <v>1</v>
  </rv>
  <rv s="0">
    <fb>11.26</fb>
    <v>1</v>
  </rv>
  <rv s="0">
    <fb>11.21</fb>
    <v>1</v>
  </rv>
  <rv s="0">
    <fb>65515630</fb>
    <v>2</v>
  </rv>
  <rv s="0">
    <fb>45860</fb>
    <v>0</v>
  </rv>
  <rv s="0">
    <fb>11.29</fb>
    <v>1</v>
  </rv>
  <rv s="0">
    <fb>11.08</fb>
    <v>1</v>
  </rv>
  <rv s="0">
    <fb>79403755</fb>
    <v>2</v>
  </rv>
  <rv s="0">
    <fb>45861</fb>
    <v>0</v>
  </rv>
  <rv s="0">
    <fb>11.28</fb>
    <v>1</v>
  </rv>
  <rv s="0">
    <fb>11.46</fb>
    <v>1</v>
  </rv>
  <rv s="0">
    <fb>76163207</fb>
    <v>2</v>
  </rv>
  <rv s="0">
    <fb>45862</fb>
    <v>0</v>
  </rv>
  <rv s="0">
    <fb>11.429</fb>
    <v>1</v>
  </rv>
  <rv s="0">
    <fb>11.23</fb>
    <v>1</v>
  </rv>
  <rv s="0">
    <fb>63557796</fb>
    <v>2</v>
  </rv>
  <rv s="0">
    <fb>45863</fb>
    <v>0</v>
  </rv>
  <rv s="0">
    <fb>11.47</fb>
    <v>1</v>
  </rv>
  <rv s="0">
    <fb>11.335000000000001</fb>
    <v>1</v>
  </rv>
  <rv s="0">
    <fb>11.49</fb>
    <v>1</v>
  </rv>
  <rv s="0">
    <fb>11.2401</fb>
    <v>1</v>
  </rv>
  <rv s="0">
    <fb>52312257</fb>
    <v>2</v>
  </rv>
  <rv s="0">
    <fb>45866</fb>
    <v>0</v>
  </rv>
  <rv s="0">
    <fb>11.25</fb>
    <v>1</v>
  </rv>
  <rv s="0">
    <fb>54173647</fb>
    <v>2</v>
  </rv>
  <rv s="0">
    <fb>45867</fb>
    <v>0</v>
  </rv>
  <rv s="0">
    <fb>11.06</fb>
    <v>1</v>
  </rv>
  <rv s="0">
    <fb>58371483</fb>
    <v>2</v>
  </rv>
  <rv s="0">
    <fb>45868</fb>
    <v>0</v>
  </rv>
  <rv s="0">
    <fb>11.125</fb>
    <v>1</v>
  </rv>
  <rv s="0">
    <fb>10.82</fb>
    <v>1</v>
  </rv>
  <rv s="0">
    <fb>79866858</fb>
    <v>2</v>
  </rv>
  <rv s="0">
    <fb>45869</fb>
    <v>0</v>
  </rv>
  <rv s="0">
    <fb>11.07</fb>
    <v>1</v>
  </rv>
  <rv s="0">
    <fb>10.773</fb>
    <v>1</v>
  </rv>
  <rv s="0">
    <fb>10.680099999999999</fb>
    <v>1</v>
  </rv>
  <rv s="0">
    <fb>101090884</fb>
    <v>2</v>
  </rv>
  <rv s="0">
    <fb>45870</fb>
    <v>0</v>
  </rv>
  <rv s="0">
    <fb>73541489</fb>
    <v>2</v>
  </rv>
  <rv s="0">
    <fb>45873</fb>
    <v>0</v>
  </rv>
  <rv s="0">
    <fb>10.95</fb>
    <v>1</v>
  </rv>
  <rv s="0">
    <fb>10.89</fb>
    <v>1</v>
  </rv>
  <rv s="0">
    <fb>11.02</fb>
    <v>1</v>
  </rv>
  <rv s="0">
    <fb>56696828</fb>
    <v>2</v>
  </rv>
  <rv s="0">
    <fb>45874</fb>
    <v>0</v>
  </rv>
  <rv s="0">
    <fb>10.98</fb>
    <v>1</v>
  </rv>
  <rv s="0">
    <fb>11.1</fb>
    <v>1</v>
  </rv>
  <rv s="0">
    <fb>10.9</fb>
    <v>1</v>
  </rv>
  <rv s="0">
    <fb>58864252</fb>
    <v>2</v>
  </rv>
  <rv s="0">
    <fb>45875</fb>
    <v>0</v>
  </rv>
  <rv s="0">
    <fb>59519843</fb>
    <v>2</v>
  </rv>
  <rv s="0">
    <fb>45876</fb>
    <v>0</v>
  </rv>
  <rv s="0">
    <fb>11.3</fb>
    <v>1</v>
  </rv>
  <rv s="0">
    <fb>11.385</fb>
    <v>1</v>
  </rv>
  <rv s="0">
    <fb>71774972</fb>
    <v>2</v>
  </rv>
  <rv s="0">
    <fb>45877</fb>
    <v>0</v>
  </rv>
  <rv s="0">
    <fb>11.32</fb>
    <v>1</v>
  </rv>
  <rv s="0">
    <fb>11.305</fb>
    <v>1</v>
  </rv>
  <rv s="0">
    <fb>48465317</fb>
    <v>2</v>
  </rv>
  <rv s="0">
    <fb>45880</fb>
    <v>0</v>
  </rv>
  <rv s="0">
    <fb>11.14</fb>
    <v>1</v>
  </rv>
  <rv s="0">
    <fb>84332966</fb>
    <v>2</v>
  </rv>
  <rv s="0">
    <fb>45881</fb>
    <v>0</v>
  </rv>
  <rv s="0">
    <fb>11.2</fb>
    <v>1</v>
  </rv>
  <rv s="0">
    <fb>11.13</fb>
    <v>1</v>
  </rv>
  <rv s="0">
    <fb>64021039</fb>
    <v>2</v>
  </rv>
  <rv s="0">
    <fb>45882</fb>
    <v>0</v>
  </rv>
  <rv s="0">
    <fb>11.44</fb>
    <v>1</v>
  </rv>
  <rv s="0">
    <fb>11.27</fb>
    <v>1</v>
  </rv>
  <rv s="0">
    <fb>63823345</fb>
    <v>2</v>
  </rv>
  <rv s="0">
    <fb>45883</fb>
    <v>0</v>
  </rv>
  <rv s="0">
    <fb>11.215</fb>
    <v>1</v>
  </rv>
  <rv s="0">
    <fb>52469244</fb>
    <v>2</v>
  </rv>
  <rv s="0">
    <fb>45884</fb>
    <v>0</v>
  </rv>
  <rv s="0">
    <fb>11.43</fb>
    <v>1</v>
  </rv>
  <rv s="0">
    <fb>11.52</fb>
    <v>1</v>
  </rv>
  <rv s="0">
    <fb>11.41</fb>
    <v>1</v>
  </rv>
  <rv s="0">
    <fb>46141355</fb>
    <v>2</v>
  </rv>
  <rv s="0">
    <fb>45887</fb>
    <v>0</v>
  </rv>
  <rv s="0">
    <fb>11.4</fb>
    <v>1</v>
  </rv>
  <rv s="0">
    <fb>37113805</fb>
    <v>2</v>
  </rv>
  <rv s="0">
    <fb>45888</fb>
    <v>0</v>
  </rv>
  <rv s="0">
    <fb>11.58</fb>
    <v>1</v>
  </rv>
  <rv s="0">
    <fb>11.73</fb>
    <v>1</v>
  </rv>
  <rv s="0">
    <fb>58020177</fb>
    <v>2</v>
  </rv>
  <rv s="0">
    <fb>45889</fb>
    <v>0</v>
  </rv>
  <rv s="0">
    <fb>46469853</fb>
    <v>2</v>
  </rv>
  <rv s="0">
    <fb>45890</fb>
    <v>0</v>
  </rv>
  <rv s="0">
    <fb>11.33</fb>
    <v>1</v>
  </rv>
  <rv s="0">
    <fb>11.42</fb>
    <v>1</v>
  </rv>
  <rv s="0">
    <fb>11.195</fb>
    <v>1</v>
  </rv>
  <rv s="0">
    <fb>51779301</fb>
    <v>2</v>
  </rv>
  <rv s="0">
    <fb>45891</fb>
    <v>0</v>
  </rv>
  <rv s="0">
    <fb>11.74</fb>
    <v>1</v>
  </rv>
  <rv s="0">
    <fb>11.39</fb>
    <v>1</v>
  </rv>
  <rv s="0">
    <fb>58538704</fb>
    <v>2</v>
  </rv>
  <rv s="0">
    <fb>45894</fb>
    <v>0</v>
  </rv>
  <rv s="0">
    <fb>11.82</fb>
    <v>1</v>
  </rv>
  <rv s="0">
    <fb>11.72</fb>
    <v>1</v>
  </rv>
  <rv s="0">
    <fb>45038754</fb>
    <v>2</v>
  </rv>
  <rv s="0">
    <fb>45895</fb>
    <v>0</v>
  </rv>
  <rv s="0">
    <fb>11.84</fb>
    <v>1</v>
  </rv>
  <rv s="0">
    <fb>11.87</fb>
    <v>1</v>
  </rv>
  <rv s="0">
    <fb>48613273</fb>
    <v>2</v>
  </rv>
  <rv s="0">
    <fb>45896</fb>
    <v>0</v>
  </rv>
  <rv s="0">
    <fb>11.98</fb>
    <v>1</v>
  </rv>
  <rv s="0">
    <fb>40381477</fb>
    <v>2</v>
  </rv>
  <rv s="0">
    <fb>45897</fb>
    <v>0</v>
  </rv>
  <rv s="0">
    <fb>11.984999999999999</fb>
    <v>1</v>
  </rv>
  <rv s="0">
    <fb>11.99</fb>
    <v>1</v>
  </rv>
  <rv s="0">
    <fb>11.63</fb>
    <v>1</v>
  </rv>
  <rv s="0">
    <fb>47723668</fb>
    <v>2</v>
  </rv>
  <rv s="0">
    <fb>45898</fb>
    <v>0</v>
  </rv>
  <rv s="0">
    <fb>44069734</fb>
    <v>2</v>
  </rv>
  <rv s="0">
    <fb>45902</fb>
    <v>0</v>
  </rv>
  <rv s="0">
    <fb>11.755000000000001</fb>
    <v>1</v>
  </rv>
  <rv s="0">
    <fb>11.89</fb>
    <v>1</v>
  </rv>
  <rv s="0">
    <fb>57704182</fb>
    <v>2</v>
  </rv>
  <rv s="0">
    <fb>45903</fb>
    <v>0</v>
  </rv>
  <rv s="0">
    <fb>11.62</fb>
    <v>1</v>
  </rv>
  <rv s="0">
    <fb>11.725</fb>
    <v>1</v>
  </rv>
  <rv s="0">
    <fb>47728660</fb>
    <v>2</v>
  </rv>
  <rv s="0">
    <fb>45904</fb>
    <v>0</v>
  </rv>
  <rv s="0">
    <fb>11.7</fb>
    <v>1</v>
  </rv>
  <rv s="0">
    <fb>33136650</fb>
    <v>2</v>
  </rv>
  <rv s="0">
    <fb>45905</fb>
    <v>0</v>
  </rv>
  <rv s="0">
    <fb>11.66</fb>
    <v>1</v>
  </rv>
  <rv s="0">
    <fb>47547831</fb>
    <v>2</v>
  </rv>
  <rv s="0">
    <fb>45908</fb>
    <v>0</v>
  </rv>
  <rv s="0">
    <fb>11.69</fb>
    <v>1</v>
  </rv>
  <rv s="0">
    <fb>39734522</fb>
    <v>2</v>
  </rv>
  <rv s="0">
    <fb>45909</fb>
    <v>0</v>
  </rv>
  <rv s="0">
    <fb>41262743</fb>
    <v>2</v>
  </rv>
  <rv s="0">
    <fb>45910</fb>
    <v>0</v>
  </rv>
  <rv s="0">
    <fb>47021328</fb>
    <v>2</v>
  </rv>
  <rv s="0">
    <fb>45911</fb>
    <v>0</v>
  </rv>
  <rv s="0">
    <fb>64196118</fb>
    <v>2</v>
  </rv>
  <rv s="0">
    <fb>45912</fb>
    <v>0</v>
  </rv>
  <rv s="0">
    <fb>11.754</fb>
    <v>1</v>
  </rv>
  <rv s="0">
    <fb>50100809</fb>
    <v>2</v>
  </rv>
  <rv s="0">
    <fb>45915</fb>
    <v>0</v>
  </rv>
  <rv s="0">
    <fb>11.61</fb>
    <v>1</v>
  </rv>
  <rv s="0">
    <fb>47942431</fb>
    <v>2</v>
  </rv>
  <rv s="0">
    <fb>45916</fb>
    <v>0</v>
  </rv>
  <rv s="0">
    <fb>11.685</fb>
    <v>1</v>
  </rv>
  <rv s="0">
    <fb>11.51</fb>
    <v>1</v>
  </rv>
  <rv s="0">
    <fb>58064970</fb>
    <v>2</v>
  </rv>
  <rv s="0">
    <fb>45917</fb>
    <v>0</v>
  </rv>
  <rv s="0">
    <fb>11.55</fb>
    <v>1</v>
  </rv>
  <rv s="0">
    <fb>68585945</fb>
    <v>2</v>
  </rv>
  <rv s="0">
    <fb>45918</fb>
    <v>0</v>
  </rv>
  <rv s="0">
    <fb>55040063</fb>
    <v>2</v>
  </rv>
  <rv s="0">
    <fb>45919</fb>
    <v>0</v>
  </rv>
  <rv s="0">
    <fb>11.8</fb>
    <v>1</v>
  </rv>
  <rv s="0">
    <fb>11.585000000000001</fb>
    <v>1</v>
  </rv>
  <rv s="0">
    <fb>71676341</fb>
    <v>2</v>
  </rv>
  <rv s="0">
    <fb>45922</fb>
    <v>0</v>
  </rv>
  <rv s="0">
    <fb>11.565</fb>
    <v>1</v>
  </rv>
  <rv s="0">
    <fb>58432710</fb>
    <v>2</v>
  </rv>
  <rv s="0">
    <fb>45923</fb>
    <v>0</v>
  </rv>
  <rv s="0">
    <fb>11.695</fb>
    <v>1</v>
  </rv>
  <rv s="0">
    <fb>55667552</fb>
    <v>2</v>
  </rv>
  <rv s="0">
    <fb>45924</fb>
    <v>0</v>
  </rv>
  <rv s="0">
    <fb>60193780</fb>
    <v>2</v>
  </rv>
  <rv s="0">
    <fb>45925</fb>
    <v>0</v>
  </rv>
  <rv s="0">
    <fb>11.54</fb>
    <v>1</v>
  </rv>
  <rv s="0">
    <fb>67656337</fb>
    <v>2</v>
  </rv>
  <rv s="0">
    <fb>45926</fb>
    <v>0</v>
  </rv>
  <rv s="0">
    <fb>12.01</fb>
    <v>1</v>
  </rv>
  <rv s="0">
    <fb>12.315</fb>
    <v>1</v>
  </rv>
  <rv s="0">
    <fb>117681848</fb>
    <v>2</v>
  </rv>
  <rv s="0">
    <fb>45929</fb>
    <v>0</v>
  </rv>
  <rv s="0">
    <fb>12.09</fb>
    <v>1</v>
  </rv>
  <rv s="0">
    <fb>12.1</fb>
    <v>1</v>
  </rv>
  <rv s="0">
    <fb>12.12</fb>
    <v>1</v>
  </rv>
  <rv s="0">
    <fb>83325012</fb>
    <v>2</v>
  </rv>
  <rv s="0">
    <fb>45930</fb>
    <v>0</v>
  </rv>
  <rv s="0">
    <fb>12.11</fb>
    <v>1</v>
  </rv>
  <rv s="0">
    <fb>12.2</fb>
    <v>1</v>
  </rv>
  <rv s="0">
    <fb>70765048</fb>
    <v>2</v>
  </rv>
  <rv s="0">
    <fb>45931</fb>
    <v>0</v>
  </rv>
  <rv s="0">
    <fb>12.27</fb>
    <v>1</v>
  </rv>
  <rv s="0">
    <fb>12.28</fb>
    <v>1</v>
  </rv>
  <rv s="0">
    <fb>12.04</fb>
    <v>1</v>
  </rv>
  <rv s="0">
    <fb>73578427</fb>
    <v>2</v>
  </rv>
  <rv s="0">
    <fb>45932</fb>
    <v>0</v>
  </rv>
  <rv s="0">
    <fb>12.22</fb>
    <v>1</v>
  </rv>
  <rv s="0">
    <fb>12.43</fb>
    <v>1</v>
  </rv>
  <rv s="0">
    <fb>74530532</fb>
    <v>2</v>
  </rv>
  <rv s="0">
    <fb>45933</fb>
    <v>0</v>
  </rv>
  <rv s="0">
    <fb>12.67</fb>
    <v>1</v>
  </rv>
  <rv s="0">
    <fb>12.244999999999999</fb>
    <v>1</v>
  </rv>
  <rv s="0">
    <fb>100778558</fb>
    <v>2</v>
  </rv>
  <rv s="0">
    <fb>45936</fb>
    <v>0</v>
  </rv>
  <rv s="0">
    <fb>12.7</fb>
    <v>1</v>
  </rv>
  <rv s="0">
    <fb>12.63</fb>
    <v>1</v>
  </rv>
  <rv s="0">
    <fb>12.8</fb>
    <v>1</v>
  </rv>
  <rv s="0">
    <fb>12.48</fb>
    <v>1</v>
  </rv>
  <rv s="0">
    <fb>90544937</fb>
    <v>2</v>
  </rv>
  <rv s="0">
    <fb>45937</fb>
    <v>0</v>
  </rv>
  <rv s="0">
    <fb>11.92</fb>
    <v>1</v>
  </rv>
  <rv s="0">
    <fb>12.5</fb>
    <v>1</v>
  </rv>
  <rv s="0">
    <fb>12.53</fb>
    <v>1</v>
  </rv>
  <rv s="0">
    <fb>154390154</fb>
    <v>2</v>
  </rv>
  <rv s="0">
    <fb>45938</fb>
    <v>0</v>
  </rv>
  <rv s="0">
    <fb>12.013999999999999</fb>
    <v>1</v>
  </rv>
  <rv s="0">
    <fb>78469653</fb>
    <v>2</v>
  </rv>
  <rv s="0">
    <fb>45939</fb>
    <v>0</v>
  </rv>
  <rv s="0">
    <fb>11.5</fb>
    <v>1</v>
  </rv>
  <rv s="0">
    <fb>11.744999999999999</fb>
    <v>1</v>
  </rv>
  <rv s="0">
    <fb>70320483</fb>
    <v>2</v>
  </rv>
  <rv s="0">
    <fb>45940</fb>
    <v>0</v>
  </rv>
  <rv s="0">
    <fb>84595402</fb>
    <v>2</v>
  </rv>
  <rv s="0">
    <fb>45943</fb>
    <v>0</v>
  </rv>
  <rv s="0">
    <fb>73939384</fb>
    <v>2</v>
  </rv>
  <rv s="0">
    <fb>45944</fb>
    <v>0</v>
  </rv>
  <rv s="0">
    <fb>11.34</fb>
    <v>1</v>
  </rv>
  <rv s="0">
    <fb>89117946</fb>
    <v>2</v>
  </rv>
  <rv s="0">
    <fb>45945</fb>
    <v>0</v>
  </rv>
  <rv s="0">
    <fb>11.675000000000001</fb>
    <v>1</v>
  </rv>
  <rv s="0">
    <fb>88960726</fb>
    <v>2</v>
  </rv>
  <rv s="0">
    <fb>45946</fb>
    <v>0</v>
  </rv>
  <rv s="0">
    <fb>108701202</fb>
    <v>2</v>
  </rv>
  <rv s="0">
    <fb>45947</fb>
    <v>0</v>
  </rv>
  <rv s="0">
    <fb>107633522</fb>
    <v>2</v>
  </rv>
  <rv s="0">
    <fb>45950</fb>
    <v>0</v>
  </rv>
  <rv s="0">
    <fb>12.08</fb>
    <v>1</v>
  </rv>
  <rv s="0">
    <fb>77878936</fb>
    <v>2</v>
  </rv>
  <rv s="0">
    <fb>45951</fb>
    <v>0</v>
  </rv>
  <rv s="0">
    <fb>12.56</fb>
    <v>1</v>
  </rv>
  <rv s="0">
    <fb>12.255000000000001</fb>
    <v>1</v>
  </rv>
  <rv s="0">
    <fb>12.07</fb>
    <v>1</v>
  </rv>
  <rv s="0">
    <fb>297153158</fb>
    <v>2</v>
  </rv>
  <rv s="0">
    <fb>45952</fb>
    <v>0</v>
  </rv>
  <rv s="0">
    <fb>12.595000000000001</fb>
    <v>1</v>
  </rv>
  <rv s="0">
    <fb>415062173</fb>
    <v>2</v>
  </rv>
  <rv s="0">
    <fb>45953</fb>
    <v>0</v>
  </rv>
  <rv s="0">
    <fb>12.34</fb>
    <v>1</v>
  </rv>
  <rv s="0">
    <fb>12.47</fb>
    <v>1</v>
  </rv>
  <rv s="0">
    <fb>12.49</fb>
    <v>1</v>
  </rv>
  <rv s="0">
    <fb>12.19</fb>
    <v>1</v>
  </rv>
  <rv s="0">
    <fb>479840312</fb>
    <v>2</v>
  </rv>
  <rv s="0">
    <fb>45954</fb>
    <v>0</v>
  </rv>
  <rv s="0">
    <fb>13.84</fb>
    <v>1</v>
  </rv>
  <rv s="0">
    <fb>12.73</fb>
    <v>1</v>
  </rv>
  <rv s="0">
    <fb>13.97</fb>
    <v>1</v>
  </rv>
  <rv s="0">
    <fb>12.71</fb>
    <v>1</v>
  </rv>
  <rv s="0">
    <fb>298366862</fb>
    <v>2</v>
  </rv>
  <rv s="0">
    <fb>45957</fb>
    <v>0</v>
  </rv>
  <rv s="0">
    <fb>13.26</fb>
    <v>1</v>
  </rv>
  <rv s="0">
    <fb>13.8</fb>
    <v>1</v>
  </rv>
  <rv s="0">
    <fb>13.21</fb>
    <v>1</v>
  </rv>
  <rv s="0">
    <fb>140859004</fb>
    <v>2</v>
  </rv>
  <rv s="0">
    <fb>45958</fb>
    <v>0</v>
  </rv>
  <rv s="0">
    <fb>13.13</fb>
    <v>1</v>
  </rv>
  <rv s="0">
    <fb>13.24</fb>
    <v>1</v>
  </rv>
  <rv s="0">
    <fb>13.28</fb>
    <v>1</v>
  </rv>
  <rv s="0">
    <fb>13.04</fb>
    <v>1</v>
  </rv>
  <rv s="0">
    <fb>96738451</fb>
    <v>2</v>
  </rv>
  <rv s="0">
    <fb>45959</fb>
    <v>0</v>
  </rv>
  <rv s="0">
    <fb>13.1</fb>
    <v>1</v>
  </rv>
  <rv s="0">
    <fb>13.39</fb>
    <v>1</v>
  </rv>
  <rv s="0">
    <fb>13.07</fb>
    <v>1</v>
  </rv>
  <rv s="0">
    <fb>127512240</fb>
    <v>2</v>
  </rv>
  <rv s="0">
    <fb>45960</fb>
    <v>0</v>
  </rv>
  <rv s="0">
    <fb>13.06</fb>
    <v>1</v>
  </rv>
  <rv s="0">
    <fb>13.14</fb>
    <v>1</v>
  </rv>
  <rv s="0">
    <fb>13.29</fb>
    <v>1</v>
  </rv>
  <rv s="0">
    <fb>80766301</fb>
    <v>2</v>
  </rv>
  <rv s="0">
    <fb>45961</fb>
    <v>0</v>
  </rv>
  <rv s="0">
    <fb>13.17</fb>
    <v>1</v>
  </rv>
  <rv s="0">
    <fb>12.99</fb>
    <v>1</v>
  </rv>
  <rv s="0">
    <fb>68861988</fb>
    <v>2</v>
  </rv>
  <rv s="0">
    <fb>45964</fb>
    <v>0</v>
  </rv>
  <rv s="0">
    <fb>13.01</fb>
    <v>1</v>
  </rv>
  <rv s="0">
    <fb>12.9</fb>
    <v>1</v>
  </rv>
  <rv s="0">
    <fb>80419403</fb>
    <v>2</v>
  </rv>
  <rv s="0">
    <fb>45965</fb>
    <v>0</v>
  </rv>
  <rv s="0">
    <fb>12.79</fb>
    <v>1</v>
  </rv>
  <rv s="0">
    <fb>12.91</fb>
    <v>1</v>
  </rv>
  <rv s="0">
    <fb>12.93</fb>
    <v>1</v>
  </rv>
  <rv s="0">
    <fb>12.75</fb>
    <v>1</v>
  </rv>
  <rv s="0">
    <fb>70360611</fb>
    <v>2</v>
  </rv>
  <rv s="0">
    <fb>45966</fb>
    <v>0</v>
  </rv>
  <rv s="0">
    <fb>13.11</fb>
    <v>1</v>
  </rv>
  <rv s="0">
    <fb>12.92</fb>
    <v>1</v>
  </rv>
  <rv s="0">
    <fb>13.305</fb>
    <v>1</v>
  </rv>
  <rv s="0">
    <fb>12.88</fb>
    <v>1</v>
  </rv>
  <rv s="0">
    <fb>79134307</fb>
    <v>2</v>
  </rv>
  <rv s="0">
    <fb>45967</fb>
    <v>0</v>
  </rv>
  <rv s="0">
    <fb>13.12</fb>
    <v>1</v>
  </rv>
  <rv s="0">
    <fb>12.98</fb>
    <v>1</v>
  </rv>
  <rv s="0">
    <fb>82291049</fb>
    <v>2</v>
  </rv>
  <rv s="0">
    <fb>45968</fb>
    <v>0</v>
  </rv>
  <rv s="0">
    <fb>12.96</fb>
    <v>1</v>
  </rv>
  <rv s="0">
    <fb>12.95</fb>
    <v>1</v>
  </rv>
  <rv s="0">
    <fb>80011318</fb>
    <v>2</v>
  </rv>
  <rv s="0">
    <fb>45971</fb>
    <v>0</v>
  </rv>
  <rv s="0">
    <fb>13.16</fb>
    <v>1</v>
  </rv>
  <rv s="0">
    <fb>13.23</fb>
    <v>1</v>
  </rv>
  <rv s="0">
    <fb>13.234999999999999</fb>
    <v>1</v>
  </rv>
  <rv s="0">
    <fb>13</fb>
    <v>1</v>
  </rv>
  <rv s="0">
    <fb>62051157</fb>
    <v>2</v>
  </rv>
  <rv s="0">
    <fb>45972</fb>
    <v>0</v>
  </rv>
  <rv s="0">
    <fb>13.3</fb>
    <v>1</v>
  </rv>
  <rv s="0">
    <fb>13.19</fb>
    <v>1</v>
  </rv>
  <rv s="0">
    <fb>13.44</fb>
    <v>1</v>
  </rv>
  <rv s="0">
    <fb>79742405</fb>
    <v>2</v>
  </rv>
  <rv s="0">
    <fb>45973</fb>
    <v>0</v>
  </rv>
  <rv s="0">
    <fb>13.45</fb>
    <v>1</v>
  </rv>
  <rv s="0">
    <fb>13.5</fb>
    <v>1</v>
  </rv>
  <rv s="0">
    <fb>61840461</fb>
    <v>2</v>
  </rv>
  <rv s="1">
    <v>3</v>
    <v>F</v>
    <v>Daily</v>
    <v>45658</v>
    <v>45974</v>
    <v>0</v>
    <v>1</v>
    <v>638985024000000000,638986666724097906,0</v>
    <v>0</v>
    <v>a1sjw7</v>
    <v>XNYS:F</v>
    <v>1</v>
    <v>2</v>
    <v>3</v>
    <v>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9527-EE66-4031-AF83-6C32705825B4}">
  <dimension ref="A1:R219"/>
  <sheetViews>
    <sheetView tabSelected="1" zoomScale="85" zoomScaleNormal="85" workbookViewId="0">
      <selection sqref="A1:N2"/>
    </sheetView>
  </sheetViews>
  <sheetFormatPr defaultRowHeight="15" x14ac:dyDescent="0.25"/>
  <cols>
    <col min="1" max="1" width="10.42578125" bestFit="1" customWidth="1"/>
    <col min="6" max="6" width="11.140625" bestFit="1" customWidth="1"/>
    <col min="7" max="7" width="10.42578125" style="1" bestFit="1" customWidth="1"/>
    <col min="8" max="9" width="11.42578125" style="1" bestFit="1" customWidth="1"/>
    <col min="10" max="10" width="8.7109375" bestFit="1" customWidth="1"/>
    <col min="11" max="11" width="19.85546875" style="1" bestFit="1" customWidth="1"/>
    <col min="12" max="12" width="18.140625" style="2" bestFit="1" customWidth="1"/>
    <col min="13" max="13" width="15.85546875" bestFit="1" customWidth="1"/>
    <col min="14" max="14" width="17.5703125" bestFit="1" customWidth="1"/>
  </cols>
  <sheetData>
    <row r="1" spans="1:18" ht="18.75" x14ac:dyDescent="0.25">
      <c r="A1" s="8" t="s">
        <v>9</v>
      </c>
      <c r="B1" s="9"/>
      <c r="C1" s="9"/>
      <c r="D1" s="9"/>
      <c r="E1" s="9"/>
      <c r="F1" s="10"/>
      <c r="G1" s="11" t="s">
        <v>8</v>
      </c>
      <c r="H1" s="12"/>
      <c r="I1" s="12"/>
      <c r="J1" s="12"/>
      <c r="K1" s="12"/>
      <c r="L1" s="12"/>
      <c r="M1" s="12"/>
      <c r="N1" s="12"/>
      <c r="O1" s="13" t="s">
        <v>10</v>
      </c>
      <c r="P1" s="13"/>
      <c r="Q1" s="13"/>
      <c r="R1" s="13"/>
    </row>
    <row r="2" spans="1:18" ht="15.75" thickBot="1" x14ac:dyDescent="0.3">
      <c r="A2" s="3" t="str" cm="1">
        <f t="array" aca="1" ref="A2:F219" ca="1">_xlfn.STOCKHISTORY("F", DATE(YEAR(TODAY()),1,1), TODAY(), 0, 1, 0, 1, 2, 3, 4, 5)</f>
        <v>Date</v>
      </c>
      <c r="B2" s="3" t="str">
        <f ca="1"/>
        <v>Close</v>
      </c>
      <c r="C2" s="3" t="str">
        <f ca="1"/>
        <v>Open</v>
      </c>
      <c r="D2" s="3" t="str">
        <f ca="1"/>
        <v>High</v>
      </c>
      <c r="E2" s="3" t="str">
        <f ca="1"/>
        <v>Low</v>
      </c>
      <c r="F2" s="3" t="str">
        <f ca="1"/>
        <v>Volume</v>
      </c>
      <c r="G2" s="4" t="s">
        <v>2</v>
      </c>
      <c r="H2" s="4" t="s">
        <v>3</v>
      </c>
      <c r="I2" s="4" t="s">
        <v>4</v>
      </c>
      <c r="J2" s="3" t="s">
        <v>5</v>
      </c>
      <c r="K2" s="4" t="s">
        <v>6</v>
      </c>
      <c r="L2" s="5" t="s">
        <v>0</v>
      </c>
      <c r="M2" s="6" t="s">
        <v>1</v>
      </c>
      <c r="N2" s="6" t="s">
        <v>7</v>
      </c>
      <c r="O2" s="7" t="s">
        <v>11</v>
      </c>
      <c r="P2" s="7" t="s">
        <v>12</v>
      </c>
      <c r="Q2" s="7" t="s">
        <v>13</v>
      </c>
      <c r="R2" s="7" t="s">
        <v>14</v>
      </c>
    </row>
    <row r="3" spans="1:18" ht="15.75" thickTop="1" x14ac:dyDescent="0.25">
      <c r="A3" vm="1">
        <f ca="1"/>
        <v>45659</v>
      </c>
      <c r="B3" vm="2">
        <f ca="1"/>
        <v>9.4972999999999992</v>
      </c>
      <c r="C3" vm="3">
        <f ca="1"/>
        <v>9.7531999999999996</v>
      </c>
      <c r="D3" vm="4">
        <f ca="1"/>
        <v>9.7974999999999994</v>
      </c>
      <c r="E3" vm="5">
        <f ca="1"/>
        <v>9.4825999999999997</v>
      </c>
      <c r="F3" vm="6">
        <f ca="1"/>
        <v>68235708</v>
      </c>
      <c r="J3">
        <f t="shared" ref="J3:J66" ca="1" si="0">D3-E3</f>
        <v>0.31489999999999974</v>
      </c>
      <c r="L3" s="2">
        <f t="shared" ref="L3:L66" ca="1" si="1">(B3/$B$3)-1</f>
        <v>0</v>
      </c>
    </row>
    <row r="4" spans="1:18" x14ac:dyDescent="0.25">
      <c r="A4" vm="7">
        <f ca="1"/>
        <v>45660</v>
      </c>
      <c r="B4" vm="8">
        <f ca="1"/>
        <v>9.7236999999999991</v>
      </c>
      <c r="C4" vm="9">
        <f ca="1"/>
        <v>9.5366999999999997</v>
      </c>
      <c r="D4" vm="10">
        <f ca="1"/>
        <v>9.7926000000000002</v>
      </c>
      <c r="E4" vm="11">
        <f ca="1"/>
        <v>9.3792000000000009</v>
      </c>
      <c r="F4" vm="12">
        <f ca="1"/>
        <v>78487552</v>
      </c>
      <c r="J4">
        <f t="shared" ca="1" si="0"/>
        <v>0.41339999999999932</v>
      </c>
      <c r="L4" s="2">
        <f t="shared" ca="1" si="1"/>
        <v>2.383835405852186E-2</v>
      </c>
    </row>
    <row r="5" spans="1:18" x14ac:dyDescent="0.25">
      <c r="A5" vm="13">
        <f ca="1"/>
        <v>45663</v>
      </c>
      <c r="B5" vm="14">
        <f ca="1"/>
        <v>9.7630999999999997</v>
      </c>
      <c r="C5" vm="15">
        <f ca="1"/>
        <v>9.9009</v>
      </c>
      <c r="D5" vm="16">
        <f ca="1"/>
        <v>10.0288</v>
      </c>
      <c r="E5" vm="17">
        <f ca="1"/>
        <v>9.7433999999999994</v>
      </c>
      <c r="F5" vm="18">
        <f ca="1"/>
        <v>64867023</v>
      </c>
      <c r="J5">
        <f t="shared" ca="1" si="0"/>
        <v>0.28540000000000099</v>
      </c>
      <c r="L5" s="2">
        <f t="shared" ca="1" si="1"/>
        <v>2.7986901540437925E-2</v>
      </c>
    </row>
    <row r="6" spans="1:18" x14ac:dyDescent="0.25">
      <c r="A6" vm="19">
        <f ca="1"/>
        <v>45664</v>
      </c>
      <c r="B6" vm="20">
        <f ca="1"/>
        <v>9.6056000000000008</v>
      </c>
      <c r="C6" vm="10">
        <f ca="1"/>
        <v>9.7926000000000002</v>
      </c>
      <c r="D6" vm="21">
        <f ca="1"/>
        <v>9.8515999999999995</v>
      </c>
      <c r="E6" vm="22">
        <f ca="1"/>
        <v>9.5662000000000003</v>
      </c>
      <c r="F6" vm="23">
        <f ca="1"/>
        <v>63407119</v>
      </c>
      <c r="J6">
        <f t="shared" ca="1" si="0"/>
        <v>0.28539999999999921</v>
      </c>
      <c r="L6" s="2">
        <f t="shared" ca="1" si="1"/>
        <v>1.1403240921104008E-2</v>
      </c>
    </row>
    <row r="7" spans="1:18" x14ac:dyDescent="0.25">
      <c r="A7" vm="24">
        <f ca="1"/>
        <v>45665</v>
      </c>
      <c r="B7" vm="25">
        <f ca="1"/>
        <v>9.5859000000000005</v>
      </c>
      <c r="C7" vm="25">
        <f ca="1"/>
        <v>9.5859000000000005</v>
      </c>
      <c r="D7" vm="26">
        <f ca="1"/>
        <v>9.5958000000000006</v>
      </c>
      <c r="E7" vm="27">
        <f ca="1"/>
        <v>9.4283999999999999</v>
      </c>
      <c r="F7" vm="28">
        <f ca="1"/>
        <v>62670278</v>
      </c>
      <c r="J7">
        <f t="shared" ca="1" si="0"/>
        <v>0.16740000000000066</v>
      </c>
      <c r="L7" s="2">
        <f t="shared" ca="1" si="1"/>
        <v>9.328967180145975E-3</v>
      </c>
    </row>
    <row r="8" spans="1:18" x14ac:dyDescent="0.25">
      <c r="A8" vm="29">
        <f ca="1"/>
        <v>45667</v>
      </c>
      <c r="B8" vm="2">
        <f ca="1"/>
        <v>9.4972999999999992</v>
      </c>
      <c r="C8" vm="30">
        <f ca="1"/>
        <v>9.5169999999999995</v>
      </c>
      <c r="D8" vm="31">
        <f ca="1"/>
        <v>9.6843000000000004</v>
      </c>
      <c r="E8" vm="32">
        <f ca="1"/>
        <v>9.4382999999999999</v>
      </c>
      <c r="F8" vm="33">
        <f ca="1"/>
        <v>74552875</v>
      </c>
      <c r="J8">
        <f t="shared" ca="1" si="0"/>
        <v>0.24600000000000044</v>
      </c>
      <c r="L8" s="2">
        <f t="shared" ca="1" si="1"/>
        <v>0</v>
      </c>
    </row>
    <row r="9" spans="1:18" x14ac:dyDescent="0.25">
      <c r="A9" vm="34">
        <f ca="1"/>
        <v>45670</v>
      </c>
      <c r="B9" vm="35">
        <f ca="1"/>
        <v>9.5564</v>
      </c>
      <c r="C9" vm="36">
        <f ca="1"/>
        <v>9.5070999999999994</v>
      </c>
      <c r="D9" vm="22">
        <f ca="1"/>
        <v>9.5662000000000003</v>
      </c>
      <c r="E9" vm="37">
        <f ca="1"/>
        <v>9.4185999999999996</v>
      </c>
      <c r="F9" vm="38">
        <f ca="1"/>
        <v>67084313</v>
      </c>
      <c r="G9" s="1">
        <f t="shared" ref="G9:G72" ca="1" si="2">AVERAGE(B3:B9)</f>
        <v>9.6041857142857143</v>
      </c>
      <c r="J9">
        <f t="shared" ca="1" si="0"/>
        <v>0.14760000000000062</v>
      </c>
      <c r="L9" s="2">
        <f t="shared" ca="1" si="1"/>
        <v>6.2228212228738755E-3</v>
      </c>
    </row>
    <row r="10" spans="1:18" x14ac:dyDescent="0.25">
      <c r="A10" vm="39">
        <f ca="1"/>
        <v>45671</v>
      </c>
      <c r="B10" vm="40">
        <f ca="1"/>
        <v>9.6252999999999993</v>
      </c>
      <c r="C10" vm="41">
        <f ca="1"/>
        <v>9.6204000000000001</v>
      </c>
      <c r="D10" vm="42">
        <f ca="1"/>
        <v>9.6646000000000001</v>
      </c>
      <c r="E10" vm="43">
        <f ca="1"/>
        <v>9.5268999999999995</v>
      </c>
      <c r="F10" vm="44">
        <f ca="1"/>
        <v>46150035</v>
      </c>
      <c r="G10" s="1">
        <f t="shared" ca="1" si="2"/>
        <v>9.6224714285714281</v>
      </c>
      <c r="J10">
        <f t="shared" ca="1" si="0"/>
        <v>0.1377000000000006</v>
      </c>
      <c r="L10" s="2">
        <f t="shared" ca="1" si="1"/>
        <v>1.3477514662061818E-2</v>
      </c>
    </row>
    <row r="11" spans="1:18" x14ac:dyDescent="0.25">
      <c r="A11" vm="45">
        <f ca="1"/>
        <v>45672</v>
      </c>
      <c r="B11" vm="10">
        <f ca="1"/>
        <v>9.7926000000000002</v>
      </c>
      <c r="C11" vm="46">
        <f ca="1"/>
        <v>9.8123000000000005</v>
      </c>
      <c r="D11" vm="15">
        <f ca="1"/>
        <v>9.9009</v>
      </c>
      <c r="E11" vm="47">
        <f ca="1"/>
        <v>9.7334999999999994</v>
      </c>
      <c r="F11" vm="48">
        <f ca="1"/>
        <v>69778271</v>
      </c>
      <c r="G11" s="1">
        <f t="shared" ca="1" si="2"/>
        <v>9.6323142857142852</v>
      </c>
      <c r="J11">
        <f t="shared" ca="1" si="0"/>
        <v>0.16740000000000066</v>
      </c>
      <c r="L11" s="2">
        <f t="shared" ca="1" si="1"/>
        <v>3.1093047497710025E-2</v>
      </c>
    </row>
    <row r="12" spans="1:18" x14ac:dyDescent="0.25">
      <c r="A12" vm="49">
        <f ca="1"/>
        <v>45673</v>
      </c>
      <c r="B12" vm="21">
        <f ca="1"/>
        <v>9.8515999999999995</v>
      </c>
      <c r="C12" vm="3">
        <f ca="1"/>
        <v>9.7531999999999996</v>
      </c>
      <c r="D12" vm="15">
        <f ca="1"/>
        <v>9.9009</v>
      </c>
      <c r="E12" vm="47">
        <f ca="1"/>
        <v>9.7334999999999994</v>
      </c>
      <c r="F12" vm="50">
        <f ca="1"/>
        <v>46505753</v>
      </c>
      <c r="G12" s="1">
        <f t="shared" ca="1" si="2"/>
        <v>9.644957142857141</v>
      </c>
      <c r="J12">
        <f t="shared" ca="1" si="0"/>
        <v>0.16740000000000066</v>
      </c>
      <c r="L12" s="2">
        <f t="shared" ca="1" si="1"/>
        <v>3.7305339412254002E-2</v>
      </c>
    </row>
    <row r="13" spans="1:18" x14ac:dyDescent="0.25">
      <c r="A13" vm="51">
        <f ca="1"/>
        <v>45674</v>
      </c>
      <c r="B13" vm="52">
        <f ca="1"/>
        <v>10.019</v>
      </c>
      <c r="C13" vm="53">
        <f ca="1"/>
        <v>9.9205000000000005</v>
      </c>
      <c r="D13" vm="54">
        <f ca="1"/>
        <v>10.048500000000001</v>
      </c>
      <c r="E13" vm="55">
        <f ca="1"/>
        <v>9.8811999999999998</v>
      </c>
      <c r="F13" vm="56">
        <f ca="1"/>
        <v>61780110</v>
      </c>
      <c r="G13" s="1">
        <f t="shared" ca="1" si="2"/>
        <v>9.704014285714285</v>
      </c>
      <c r="J13">
        <f t="shared" ca="1" si="0"/>
        <v>0.16730000000000089</v>
      </c>
      <c r="L13" s="2">
        <f t="shared" ca="1" si="1"/>
        <v>5.4931401556231885E-2</v>
      </c>
    </row>
    <row r="14" spans="1:18" x14ac:dyDescent="0.25">
      <c r="A14" vm="57">
        <f ca="1"/>
        <v>45678</v>
      </c>
      <c r="B14" vm="58">
        <f ca="1"/>
        <v>10.265000000000001</v>
      </c>
      <c r="C14" vm="59">
        <f ca="1"/>
        <v>10.1371</v>
      </c>
      <c r="D14" vm="60">
        <f ca="1"/>
        <v>10.284700000000001</v>
      </c>
      <c r="E14" vm="61">
        <f ca="1"/>
        <v>10.077999999999999</v>
      </c>
      <c r="F14" vm="62">
        <f ca="1"/>
        <v>66726387</v>
      </c>
      <c r="G14" s="1">
        <f t="shared" ca="1" si="2"/>
        <v>9.8010285714285708</v>
      </c>
      <c r="J14">
        <f t="shared" ca="1" si="0"/>
        <v>0.20670000000000144</v>
      </c>
      <c r="L14" s="2">
        <f t="shared" ca="1" si="1"/>
        <v>8.0833500047382101E-2</v>
      </c>
    </row>
    <row r="15" spans="1:18" x14ac:dyDescent="0.25">
      <c r="A15" vm="63">
        <f ca="1"/>
        <v>45679</v>
      </c>
      <c r="B15" vm="64">
        <f ca="1"/>
        <v>9.8712999999999997</v>
      </c>
      <c r="C15" vm="65">
        <f ca="1"/>
        <v>10.0878</v>
      </c>
      <c r="D15" vm="65">
        <f ca="1"/>
        <v>10.0878</v>
      </c>
      <c r="E15" vm="66">
        <f ca="1"/>
        <v>9.8614999999999995</v>
      </c>
      <c r="F15" vm="67">
        <f ca="1"/>
        <v>65993172</v>
      </c>
      <c r="G15" s="1">
        <f t="shared" ca="1" si="2"/>
        <v>9.854457142857143</v>
      </c>
      <c r="J15">
        <f t="shared" ca="1" si="0"/>
        <v>0.22630000000000017</v>
      </c>
      <c r="L15" s="2">
        <f t="shared" ca="1" si="1"/>
        <v>3.9379613153212034E-2</v>
      </c>
    </row>
    <row r="16" spans="1:18" x14ac:dyDescent="0.25">
      <c r="A16" vm="68">
        <f ca="1"/>
        <v>45680</v>
      </c>
      <c r="B16" vm="69">
        <f ca="1"/>
        <v>9.9992999999999999</v>
      </c>
      <c r="C16" vm="70">
        <f ca="1"/>
        <v>9.891</v>
      </c>
      <c r="D16" vm="71">
        <f ca="1"/>
        <v>10.0091</v>
      </c>
      <c r="E16" vm="46">
        <f ca="1"/>
        <v>9.8123000000000005</v>
      </c>
      <c r="F16" vm="72">
        <f ca="1"/>
        <v>57145140</v>
      </c>
      <c r="G16" s="1">
        <f t="shared" ca="1" si="2"/>
        <v>9.9177285714285706</v>
      </c>
      <c r="J16">
        <f t="shared" ca="1" si="0"/>
        <v>0.19679999999999964</v>
      </c>
      <c r="L16" s="2">
        <f t="shared" ca="1" si="1"/>
        <v>5.2857127815273852E-2</v>
      </c>
      <c r="M16">
        <f t="shared" ref="M16:M79" ca="1" si="3">_xlfn.STDEV.P(L3:L16)</f>
        <v>2.2762653276027341E-2</v>
      </c>
    </row>
    <row r="17" spans="1:18" x14ac:dyDescent="0.25">
      <c r="A17" vm="73">
        <f ca="1"/>
        <v>45681</v>
      </c>
      <c r="B17" vm="74">
        <f ca="1"/>
        <v>9.9598999999999993</v>
      </c>
      <c r="C17" vm="69">
        <f ca="1"/>
        <v>9.9992999999999999</v>
      </c>
      <c r="D17" vm="75">
        <f ca="1"/>
        <v>10.1469</v>
      </c>
      <c r="E17" vm="76">
        <f ca="1"/>
        <v>9.9304000000000006</v>
      </c>
      <c r="F17" vm="77">
        <f ca="1"/>
        <v>43598838</v>
      </c>
      <c r="G17" s="1">
        <f t="shared" ca="1" si="2"/>
        <v>9.9655285714285693</v>
      </c>
      <c r="J17">
        <f t="shared" ca="1" si="0"/>
        <v>0.21649999999999991</v>
      </c>
      <c r="L17" s="2">
        <f t="shared" ca="1" si="1"/>
        <v>4.8708580333358009E-2</v>
      </c>
      <c r="M17">
        <f t="shared" ca="1" si="3"/>
        <v>2.1961935587724808E-2</v>
      </c>
    </row>
    <row r="18" spans="1:18" x14ac:dyDescent="0.25">
      <c r="A18" vm="78">
        <f ca="1"/>
        <v>45684</v>
      </c>
      <c r="B18" vm="79">
        <f ca="1"/>
        <v>10.2158</v>
      </c>
      <c r="C18" vm="80">
        <f ca="1"/>
        <v>9.9501000000000008</v>
      </c>
      <c r="D18" vm="81">
        <f ca="1"/>
        <v>10.2552</v>
      </c>
      <c r="E18" vm="82">
        <f ca="1"/>
        <v>9.9402000000000008</v>
      </c>
      <c r="F18" vm="83">
        <f ca="1"/>
        <v>74257329</v>
      </c>
      <c r="G18" s="1">
        <f t="shared" ca="1" si="2"/>
        <v>10.025985714285714</v>
      </c>
      <c r="J18">
        <f t="shared" ca="1" si="0"/>
        <v>0.3149999999999995</v>
      </c>
      <c r="L18" s="2">
        <f t="shared" ca="1" si="1"/>
        <v>7.5653080349151969E-2</v>
      </c>
      <c r="M18">
        <f t="shared" ca="1" si="3"/>
        <v>2.4609077182732395E-2</v>
      </c>
    </row>
    <row r="19" spans="1:18" x14ac:dyDescent="0.25">
      <c r="A19" vm="84">
        <f ca="1"/>
        <v>45685</v>
      </c>
      <c r="B19" vm="53">
        <f ca="1"/>
        <v>9.9205000000000005</v>
      </c>
      <c r="C19" vm="85">
        <f ca="1"/>
        <v>10.068199999999999</v>
      </c>
      <c r="D19" vm="85">
        <f ca="1"/>
        <v>10.068199999999999</v>
      </c>
      <c r="E19" vm="14">
        <f ca="1"/>
        <v>9.7630999999999997</v>
      </c>
      <c r="F19" vm="86">
        <f ca="1"/>
        <v>93659287</v>
      </c>
      <c r="G19" s="1">
        <f t="shared" ca="1" si="2"/>
        <v>10.035828571428571</v>
      </c>
      <c r="J19">
        <f t="shared" ca="1" si="0"/>
        <v>0.30509999999999948</v>
      </c>
      <c r="L19" s="2">
        <f t="shared" ca="1" si="1"/>
        <v>4.4560032851442166E-2</v>
      </c>
      <c r="M19">
        <f t="shared" ca="1" si="3"/>
        <v>2.4644651315805156E-2</v>
      </c>
    </row>
    <row r="20" spans="1:18" x14ac:dyDescent="0.25">
      <c r="A20" vm="87">
        <f ca="1"/>
        <v>45686</v>
      </c>
      <c r="B20" vm="54">
        <f ca="1"/>
        <v>10.048500000000001</v>
      </c>
      <c r="C20" vm="82">
        <f ca="1"/>
        <v>9.9402000000000008</v>
      </c>
      <c r="D20" vm="88">
        <f ca="1"/>
        <v>10.1272</v>
      </c>
      <c r="E20" vm="64">
        <f ca="1"/>
        <v>9.8712999999999997</v>
      </c>
      <c r="F20" vm="89">
        <f ca="1"/>
        <v>71111881</v>
      </c>
      <c r="G20" s="1">
        <f t="shared" ca="1" si="2"/>
        <v>10.040042857142856</v>
      </c>
      <c r="J20">
        <f t="shared" ca="1" si="0"/>
        <v>0.25590000000000046</v>
      </c>
      <c r="L20" s="2">
        <f t="shared" ca="1" si="1"/>
        <v>5.8037547513503984E-2</v>
      </c>
      <c r="M20">
        <f t="shared" ca="1" si="3"/>
        <v>2.4226092459197768E-2</v>
      </c>
    </row>
    <row r="21" spans="1:18" x14ac:dyDescent="0.25">
      <c r="A21" vm="90">
        <f ca="1"/>
        <v>45687</v>
      </c>
      <c r="B21" vm="69">
        <f ca="1"/>
        <v>9.9992999999999999</v>
      </c>
      <c r="C21" vm="91">
        <f ca="1"/>
        <v>10.0977</v>
      </c>
      <c r="D21" vm="92">
        <f ca="1"/>
        <v>10.2256</v>
      </c>
      <c r="E21" vm="15">
        <f ca="1"/>
        <v>9.9009</v>
      </c>
      <c r="F21" vm="93">
        <f ca="1"/>
        <v>70782906</v>
      </c>
      <c r="G21" s="1">
        <f t="shared" ca="1" si="2"/>
        <v>10.002085714285716</v>
      </c>
      <c r="J21">
        <f t="shared" ca="1" si="0"/>
        <v>0.32469999999999999</v>
      </c>
      <c r="L21" s="2">
        <f t="shared" ca="1" si="1"/>
        <v>5.2857127815273852E-2</v>
      </c>
      <c r="M21">
        <f t="shared" ca="1" si="3"/>
        <v>2.2917924508355472E-2</v>
      </c>
    </row>
    <row r="22" spans="1:18" x14ac:dyDescent="0.25">
      <c r="A22" vm="94">
        <f ca="1"/>
        <v>45688</v>
      </c>
      <c r="B22" vm="53">
        <f ca="1"/>
        <v>9.9205000000000005</v>
      </c>
      <c r="C22" vm="71">
        <f ca="1"/>
        <v>10.0091</v>
      </c>
      <c r="D22" vm="95">
        <f ca="1"/>
        <v>10.186299999999999</v>
      </c>
      <c r="E22" vm="96">
        <f ca="1"/>
        <v>9.8320000000000007</v>
      </c>
      <c r="F22" vm="97">
        <f ca="1"/>
        <v>105393560</v>
      </c>
      <c r="G22" s="1">
        <f t="shared" ca="1" si="2"/>
        <v>10.009114285714286</v>
      </c>
      <c r="H22" s="1">
        <f t="shared" ref="H22:H53" ca="1" si="4">AVERAGE(B3:B22)</f>
        <v>9.8358950000000007</v>
      </c>
      <c r="J22">
        <f t="shared" ca="1" si="0"/>
        <v>0.35429999999999851</v>
      </c>
      <c r="K22" s="1">
        <f ca="1">AVERAGE(J3:J22)</f>
        <v>0.24506000000000014</v>
      </c>
      <c r="L22" s="2">
        <f t="shared" ca="1" si="1"/>
        <v>4.4560032851442166E-2</v>
      </c>
      <c r="M22">
        <f t="shared" ca="1" si="3"/>
        <v>1.9646096362973139E-2</v>
      </c>
      <c r="N22">
        <f ca="1">AVERAGE(F3:F22)</f>
        <v>67609376.849999994</v>
      </c>
      <c r="O22">
        <f ca="1">AVERAGE(B3:B22)</f>
        <v>9.8358950000000007</v>
      </c>
      <c r="P22">
        <f ca="1">_xlfn.STDEV.S(B3:B22)</f>
        <v>0.22697536030197329</v>
      </c>
      <c r="Q22">
        <f ca="1">O22 + (2 * P22)</f>
        <v>10.289845720603948</v>
      </c>
      <c r="R22">
        <f ca="1">O22 - (2 * P22)</f>
        <v>9.3819442793960537</v>
      </c>
    </row>
    <row r="23" spans="1:18" x14ac:dyDescent="0.25">
      <c r="A23" vm="98">
        <f ca="1"/>
        <v>45691</v>
      </c>
      <c r="B23" vm="47">
        <f ca="1"/>
        <v>9.7334999999999994</v>
      </c>
      <c r="C23" vm="22">
        <f ca="1"/>
        <v>9.5662000000000003</v>
      </c>
      <c r="D23" vm="15">
        <f ca="1"/>
        <v>9.9009</v>
      </c>
      <c r="E23" vm="99">
        <f ca="1"/>
        <v>9.4481000000000002</v>
      </c>
      <c r="F23" vm="100">
        <f ca="1"/>
        <v>133542924</v>
      </c>
      <c r="G23" s="1">
        <f t="shared" ca="1" si="2"/>
        <v>9.9711428571428566</v>
      </c>
      <c r="H23" s="1">
        <f t="shared" ca="1" si="4"/>
        <v>9.8477050000000013</v>
      </c>
      <c r="J23">
        <f t="shared" ca="1" si="0"/>
        <v>0.45279999999999987</v>
      </c>
      <c r="K23" s="1">
        <f t="shared" ref="K23:K86" ca="1" si="5">AVERAGE(J4:J23)</f>
        <v>0.25195500000000015</v>
      </c>
      <c r="L23" s="2">
        <f t="shared" ca="1" si="1"/>
        <v>2.4870226274835927E-2</v>
      </c>
      <c r="M23">
        <f t="shared" ca="1" si="3"/>
        <v>1.7428135832649138E-2</v>
      </c>
      <c r="N23">
        <f t="shared" ref="N23:N86" ca="1" si="6">AVERAGE(F4:F23)</f>
        <v>70874737.650000006</v>
      </c>
      <c r="O23">
        <f t="shared" ref="O23:O86" ca="1" si="7">AVERAGE(B4:B23)</f>
        <v>9.8477050000000013</v>
      </c>
      <c r="P23">
        <f t="shared" ref="P23:P86" ca="1" si="8">_xlfn.STDEV.S(B4:B23)</f>
        <v>0.214216701582398</v>
      </c>
      <c r="Q23">
        <f t="shared" ref="Q23:Q86" ca="1" si="9">O23 + (2 * P23)</f>
        <v>10.276138403164797</v>
      </c>
      <c r="R23">
        <f t="shared" ref="R23:R86" ca="1" si="10">O23 - (2 * P23)</f>
        <v>9.4192715968352054</v>
      </c>
    </row>
    <row r="24" spans="1:18" x14ac:dyDescent="0.25">
      <c r="A24" vm="101">
        <f ca="1"/>
        <v>45692</v>
      </c>
      <c r="B24" vm="69">
        <f ca="1"/>
        <v>9.9992999999999999</v>
      </c>
      <c r="C24" vm="102">
        <f ca="1"/>
        <v>9.7827000000000002</v>
      </c>
      <c r="D24" vm="69">
        <f ca="1"/>
        <v>9.9992999999999999</v>
      </c>
      <c r="E24" vm="103">
        <f ca="1"/>
        <v>9.7483000000000004</v>
      </c>
      <c r="F24" vm="104">
        <f ca="1"/>
        <v>69821048</v>
      </c>
      <c r="G24" s="1">
        <f t="shared" ca="1" si="2"/>
        <v>9.9767714285714284</v>
      </c>
      <c r="H24" s="1">
        <f t="shared" ca="1" si="4"/>
        <v>9.8614850000000001</v>
      </c>
      <c r="J24">
        <f t="shared" ca="1" si="0"/>
        <v>0.25099999999999945</v>
      </c>
      <c r="K24" s="1">
        <f t="shared" ca="1" si="5"/>
        <v>0.24383500000000016</v>
      </c>
      <c r="L24" s="2">
        <f t="shared" ca="1" si="1"/>
        <v>5.2857127815273852E-2</v>
      </c>
      <c r="M24">
        <f t="shared" ca="1" si="3"/>
        <v>1.4749855777309714E-2</v>
      </c>
      <c r="N24">
        <f t="shared" ca="1" si="6"/>
        <v>70441412.450000003</v>
      </c>
      <c r="O24">
        <f t="shared" ca="1" si="7"/>
        <v>9.8614850000000001</v>
      </c>
      <c r="P24">
        <f t="shared" ca="1" si="8"/>
        <v>0.21468375094788306</v>
      </c>
      <c r="Q24">
        <f t="shared" ca="1" si="9"/>
        <v>10.290852501895767</v>
      </c>
      <c r="R24">
        <f t="shared" ca="1" si="10"/>
        <v>9.4321174981042333</v>
      </c>
    </row>
    <row r="25" spans="1:18" x14ac:dyDescent="0.25">
      <c r="A25" vm="105">
        <f ca="1"/>
        <v>45693</v>
      </c>
      <c r="B25" vm="21">
        <f ca="1"/>
        <v>9.8515999999999995</v>
      </c>
      <c r="C25" vm="69">
        <f ca="1"/>
        <v>9.9992999999999999</v>
      </c>
      <c r="D25" vm="106">
        <f ca="1"/>
        <v>10.1518</v>
      </c>
      <c r="E25" vm="107">
        <f ca="1"/>
        <v>9.8024000000000004</v>
      </c>
      <c r="F25" vm="108">
        <f ca="1"/>
        <v>126184045</v>
      </c>
      <c r="G25" s="1">
        <f t="shared" ca="1" si="2"/>
        <v>9.9247428571428582</v>
      </c>
      <c r="H25" s="1">
        <f t="shared" ca="1" si="4"/>
        <v>9.8659099999999995</v>
      </c>
      <c r="J25">
        <f t="shared" ca="1" si="0"/>
        <v>0.34939999999999927</v>
      </c>
      <c r="K25" s="1">
        <f t="shared" ca="1" si="5"/>
        <v>0.24703500000000006</v>
      </c>
      <c r="L25" s="2">
        <f t="shared" ca="1" si="1"/>
        <v>3.7305339412254002E-2</v>
      </c>
      <c r="M25">
        <f t="shared" ca="1" si="3"/>
        <v>1.4263009662142632E-2</v>
      </c>
      <c r="N25">
        <f t="shared" ca="1" si="6"/>
        <v>73507263.549999997</v>
      </c>
      <c r="O25">
        <f t="shared" ca="1" si="7"/>
        <v>9.8659099999999995</v>
      </c>
      <c r="P25">
        <f t="shared" ca="1" si="8"/>
        <v>0.21345770417973733</v>
      </c>
      <c r="Q25">
        <f t="shared" ca="1" si="9"/>
        <v>10.292825408359475</v>
      </c>
      <c r="R25">
        <f t="shared" ca="1" si="10"/>
        <v>9.4389945916405242</v>
      </c>
    </row>
    <row r="26" spans="1:18" x14ac:dyDescent="0.25">
      <c r="A26" vm="109">
        <f ca="1"/>
        <v>45694</v>
      </c>
      <c r="B26" vm="110">
        <f ca="1"/>
        <v>9.1135000000000002</v>
      </c>
      <c r="C26" vm="111">
        <f ca="1"/>
        <v>9.3399000000000001</v>
      </c>
      <c r="D26" vm="112">
        <f ca="1"/>
        <v>9.4875000000000007</v>
      </c>
      <c r="E26" vm="110">
        <f ca="1"/>
        <v>9.1135000000000002</v>
      </c>
      <c r="F26" vm="113">
        <f ca="1"/>
        <v>226339032</v>
      </c>
      <c r="G26" s="1">
        <f t="shared" ca="1" si="2"/>
        <v>9.8094571428571431</v>
      </c>
      <c r="H26" s="1">
        <f t="shared" ca="1" si="4"/>
        <v>9.8413050000000002</v>
      </c>
      <c r="J26">
        <f t="shared" ca="1" si="0"/>
        <v>0.37400000000000055</v>
      </c>
      <c r="K26" s="1">
        <f t="shared" ca="1" si="5"/>
        <v>0.25146500000000016</v>
      </c>
      <c r="L26" s="2">
        <f t="shared" ca="1" si="1"/>
        <v>-4.041148536952599E-2</v>
      </c>
      <c r="M26">
        <f t="shared" ca="1" si="3"/>
        <v>2.7362759521595312E-2</v>
      </c>
      <c r="N26">
        <f t="shared" ca="1" si="6"/>
        <v>81653859.200000003</v>
      </c>
      <c r="O26">
        <f t="shared" ca="1" si="7"/>
        <v>9.8413050000000002</v>
      </c>
      <c r="P26">
        <f t="shared" ca="1" si="8"/>
        <v>0.26675151353588278</v>
      </c>
      <c r="Q26">
        <f t="shared" ca="1" si="9"/>
        <v>10.374808027071765</v>
      </c>
      <c r="R26">
        <f t="shared" ca="1" si="10"/>
        <v>9.3078019729282353</v>
      </c>
    </row>
    <row r="27" spans="1:18" x14ac:dyDescent="0.25">
      <c r="A27" vm="114">
        <f ca="1"/>
        <v>45695</v>
      </c>
      <c r="B27" vm="115">
        <f ca="1"/>
        <v>9.0937999999999999</v>
      </c>
      <c r="C27" vm="116">
        <f ca="1"/>
        <v>9.1823999999999995</v>
      </c>
      <c r="D27" vm="117">
        <f ca="1"/>
        <v>9.2020999999999997</v>
      </c>
      <c r="E27" vm="118">
        <f ca="1"/>
        <v>9.0348000000000006</v>
      </c>
      <c r="F27" vm="119">
        <f ca="1"/>
        <v>143116839</v>
      </c>
      <c r="G27" s="1">
        <f t="shared" ca="1" si="2"/>
        <v>9.6730714285714292</v>
      </c>
      <c r="H27" s="1">
        <f t="shared" ca="1" si="4"/>
        <v>9.8166999999999991</v>
      </c>
      <c r="J27">
        <f t="shared" ca="1" si="0"/>
        <v>0.16729999999999912</v>
      </c>
      <c r="K27" s="1">
        <f t="shared" ca="1" si="5"/>
        <v>0.25146000000000007</v>
      </c>
      <c r="L27" s="2">
        <f t="shared" ca="1" si="1"/>
        <v>-4.2485759110483912E-2</v>
      </c>
      <c r="M27">
        <f t="shared" ca="1" si="3"/>
        <v>3.5170593136310234E-2</v>
      </c>
      <c r="N27">
        <f t="shared" ca="1" si="6"/>
        <v>85676187.25</v>
      </c>
      <c r="O27">
        <f t="shared" ca="1" si="7"/>
        <v>9.8166999999999991</v>
      </c>
      <c r="P27">
        <f t="shared" ca="1" si="8"/>
        <v>0.31063558951556769</v>
      </c>
      <c r="Q27">
        <f t="shared" ca="1" si="9"/>
        <v>10.437971179031134</v>
      </c>
      <c r="R27">
        <f t="shared" ca="1" si="10"/>
        <v>9.1954288209688642</v>
      </c>
    </row>
    <row r="28" spans="1:18" x14ac:dyDescent="0.25">
      <c r="A28" vm="120">
        <f ca="1"/>
        <v>45698</v>
      </c>
      <c r="B28" vm="115">
        <f ca="1"/>
        <v>9.0937999999999999</v>
      </c>
      <c r="C28" vm="121">
        <f ca="1"/>
        <v>9.1036999999999999</v>
      </c>
      <c r="D28" vm="122">
        <f ca="1"/>
        <v>9.1529000000000007</v>
      </c>
      <c r="E28" vm="123">
        <f ca="1"/>
        <v>8.9756999999999998</v>
      </c>
      <c r="F28" vm="124">
        <f ca="1"/>
        <v>73328062</v>
      </c>
      <c r="G28" s="1">
        <f t="shared" ca="1" si="2"/>
        <v>9.5437142857142856</v>
      </c>
      <c r="H28" s="1">
        <f t="shared" ca="1" si="4"/>
        <v>9.796524999999999</v>
      </c>
      <c r="J28">
        <f t="shared" ca="1" si="0"/>
        <v>0.17720000000000091</v>
      </c>
      <c r="K28" s="1">
        <f t="shared" ca="1" si="5"/>
        <v>0.24802000000000007</v>
      </c>
      <c r="L28" s="2">
        <f t="shared" ca="1" si="1"/>
        <v>-4.2485759110483912E-2</v>
      </c>
      <c r="M28">
        <f t="shared" ca="1" si="3"/>
        <v>3.8574585488853223E-2</v>
      </c>
      <c r="N28">
        <f t="shared" ca="1" si="6"/>
        <v>85614946.599999994</v>
      </c>
      <c r="O28">
        <f t="shared" ca="1" si="7"/>
        <v>9.796524999999999</v>
      </c>
      <c r="P28">
        <f t="shared" ca="1" si="8"/>
        <v>0.3438039800678962</v>
      </c>
      <c r="Q28">
        <f t="shared" ca="1" si="9"/>
        <v>10.484132960135792</v>
      </c>
      <c r="R28">
        <f t="shared" ca="1" si="10"/>
        <v>9.1089170398642061</v>
      </c>
    </row>
    <row r="29" spans="1:18" x14ac:dyDescent="0.25">
      <c r="A29" vm="125">
        <f ca="1"/>
        <v>45699</v>
      </c>
      <c r="B29" vm="126">
        <f ca="1"/>
        <v>9.0642999999999994</v>
      </c>
      <c r="C29" vm="126">
        <f ca="1"/>
        <v>9.0642999999999994</v>
      </c>
      <c r="D29" vm="110">
        <f ca="1"/>
        <v>9.1135000000000002</v>
      </c>
      <c r="E29" vm="127">
        <f ca="1"/>
        <v>9.0249000000000006</v>
      </c>
      <c r="F29" vm="128">
        <f ca="1"/>
        <v>55726170</v>
      </c>
      <c r="G29" s="1">
        <f t="shared" ca="1" si="2"/>
        <v>9.4214000000000002</v>
      </c>
      <c r="H29" s="1">
        <f t="shared" ca="1" si="4"/>
        <v>9.7719199999999979</v>
      </c>
      <c r="J29">
        <f t="shared" ca="1" si="0"/>
        <v>8.8599999999999568E-2</v>
      </c>
      <c r="K29" s="1">
        <f t="shared" ca="1" si="5"/>
        <v>0.24507000000000004</v>
      </c>
      <c r="L29" s="2">
        <f t="shared" ca="1" si="1"/>
        <v>-4.5591905067756122E-2</v>
      </c>
      <c r="M29">
        <f t="shared" ca="1" si="3"/>
        <v>4.2908259115257703E-2</v>
      </c>
      <c r="N29">
        <f t="shared" ca="1" si="6"/>
        <v>85047039.450000003</v>
      </c>
      <c r="O29">
        <f t="shared" ca="1" si="7"/>
        <v>9.7719199999999979</v>
      </c>
      <c r="P29">
        <f t="shared" ca="1" si="8"/>
        <v>0.37781976154050811</v>
      </c>
      <c r="Q29">
        <f t="shared" ca="1" si="9"/>
        <v>10.527559523081013</v>
      </c>
      <c r="R29">
        <f t="shared" ca="1" si="10"/>
        <v>9.0162804769189826</v>
      </c>
    </row>
    <row r="30" spans="1:18" x14ac:dyDescent="0.25">
      <c r="A30" vm="129">
        <f ca="1"/>
        <v>45700</v>
      </c>
      <c r="B30" vm="130">
        <f ca="1"/>
        <v>9.0839999999999996</v>
      </c>
      <c r="C30" vm="127">
        <f ca="1"/>
        <v>9.0249000000000006</v>
      </c>
      <c r="D30" vm="131">
        <f ca="1"/>
        <v>9.1430000000000007</v>
      </c>
      <c r="E30" vm="132">
        <f ca="1"/>
        <v>8.9559999999999995</v>
      </c>
      <c r="F30" vm="133">
        <f ca="1"/>
        <v>68421994</v>
      </c>
      <c r="G30" s="1">
        <f t="shared" ca="1" si="2"/>
        <v>9.328614285714286</v>
      </c>
      <c r="H30" s="1">
        <f t="shared" ca="1" si="4"/>
        <v>9.7448549999999976</v>
      </c>
      <c r="J30">
        <f t="shared" ca="1" si="0"/>
        <v>0.18700000000000117</v>
      </c>
      <c r="K30" s="1">
        <f t="shared" ca="1" si="5"/>
        <v>0.24753500000000006</v>
      </c>
      <c r="L30" s="2">
        <f t="shared" ca="1" si="1"/>
        <v>-4.351763132679809E-2</v>
      </c>
      <c r="M30">
        <f t="shared" ca="1" si="3"/>
        <v>4.5226111801955869E-2</v>
      </c>
      <c r="N30">
        <f t="shared" ca="1" si="6"/>
        <v>86160637.400000006</v>
      </c>
      <c r="O30">
        <f t="shared" ca="1" si="7"/>
        <v>9.7448549999999976</v>
      </c>
      <c r="P30">
        <f t="shared" ca="1" si="8"/>
        <v>0.40712689664732826</v>
      </c>
      <c r="Q30">
        <f t="shared" ca="1" si="9"/>
        <v>10.559108793294655</v>
      </c>
      <c r="R30">
        <f t="shared" ca="1" si="10"/>
        <v>8.9306012067053402</v>
      </c>
    </row>
    <row r="31" spans="1:18" x14ac:dyDescent="0.25">
      <c r="A31" vm="134">
        <f ca="1"/>
        <v>45701</v>
      </c>
      <c r="B31" vm="117">
        <f ca="1"/>
        <v>9.2020999999999997</v>
      </c>
      <c r="C31" vm="131">
        <f ca="1"/>
        <v>9.1430000000000007</v>
      </c>
      <c r="D31" vm="135">
        <f ca="1"/>
        <v>9.2611000000000008</v>
      </c>
      <c r="E31" vm="115">
        <f ca="1"/>
        <v>9.0937999999999999</v>
      </c>
      <c r="F31" vm="136">
        <f ca="1"/>
        <v>73218126</v>
      </c>
      <c r="G31" s="1">
        <f t="shared" ca="1" si="2"/>
        <v>9.2147285714285712</v>
      </c>
      <c r="H31" s="1">
        <f t="shared" ca="1" si="4"/>
        <v>9.715329999999998</v>
      </c>
      <c r="J31">
        <f t="shared" ca="1" si="0"/>
        <v>0.16730000000000089</v>
      </c>
      <c r="K31" s="1">
        <f t="shared" ca="1" si="5"/>
        <v>0.24753000000000008</v>
      </c>
      <c r="L31" s="2">
        <f t="shared" ca="1" si="1"/>
        <v>-3.1082518189380126E-2</v>
      </c>
      <c r="M31">
        <f t="shared" ca="1" si="3"/>
        <v>4.5777581825483575E-2</v>
      </c>
      <c r="N31">
        <f t="shared" ca="1" si="6"/>
        <v>86332630.150000006</v>
      </c>
      <c r="O31">
        <f t="shared" ca="1" si="7"/>
        <v>9.715329999999998</v>
      </c>
      <c r="P31">
        <f t="shared" ca="1" si="8"/>
        <v>0.42452219469595909</v>
      </c>
      <c r="Q31">
        <f t="shared" ca="1" si="9"/>
        <v>10.564374389391917</v>
      </c>
      <c r="R31">
        <f t="shared" ca="1" si="10"/>
        <v>8.8662856106080792</v>
      </c>
    </row>
    <row r="32" spans="1:18" x14ac:dyDescent="0.25">
      <c r="A32" vm="137">
        <f ca="1"/>
        <v>45702</v>
      </c>
      <c r="B32" vm="138">
        <f ca="1"/>
        <v>9.33</v>
      </c>
      <c r="C32" vm="139">
        <f ca="1"/>
        <v>9.2807999999999993</v>
      </c>
      <c r="D32" vm="140">
        <f ca="1"/>
        <v>9.3596000000000004</v>
      </c>
      <c r="E32" vm="141">
        <f ca="1"/>
        <v>9.2415000000000003</v>
      </c>
      <c r="F32" vm="142">
        <f ca="1"/>
        <v>54642783</v>
      </c>
      <c r="G32" s="1">
        <f t="shared" ca="1" si="2"/>
        <v>9.1402142857142845</v>
      </c>
      <c r="H32" s="1">
        <f t="shared" ca="1" si="4"/>
        <v>9.6892499999999995</v>
      </c>
      <c r="J32">
        <f t="shared" ca="1" si="0"/>
        <v>0.11810000000000009</v>
      </c>
      <c r="K32" s="1">
        <f t="shared" ca="1" si="5"/>
        <v>0.24506500000000003</v>
      </c>
      <c r="L32" s="2">
        <f t="shared" ca="1" si="1"/>
        <v>-1.7615532835647985E-2</v>
      </c>
      <c r="M32">
        <f t="shared" ca="1" si="3"/>
        <v>4.2457912868067271E-2</v>
      </c>
      <c r="N32">
        <f t="shared" ca="1" si="6"/>
        <v>86739481.650000006</v>
      </c>
      <c r="O32">
        <f t="shared" ca="1" si="7"/>
        <v>9.6892499999999995</v>
      </c>
      <c r="P32">
        <f t="shared" ca="1" si="8"/>
        <v>0.43167172895494033</v>
      </c>
      <c r="Q32">
        <f t="shared" ca="1" si="9"/>
        <v>10.552593457909881</v>
      </c>
      <c r="R32">
        <f t="shared" ca="1" si="10"/>
        <v>8.8259065420901184</v>
      </c>
    </row>
    <row r="33" spans="1:18" x14ac:dyDescent="0.25">
      <c r="A33" vm="143">
        <f ca="1"/>
        <v>45706</v>
      </c>
      <c r="B33" vm="144">
        <f ca="1"/>
        <v>9.2899999999999991</v>
      </c>
      <c r="C33" vm="145">
        <f ca="1"/>
        <v>9.32</v>
      </c>
      <c r="D33" vm="146">
        <f ca="1"/>
        <v>9.35</v>
      </c>
      <c r="E33" vm="147">
        <f ca="1"/>
        <v>9.23</v>
      </c>
      <c r="F33" vm="148">
        <f ca="1"/>
        <v>62175764</v>
      </c>
      <c r="G33" s="1">
        <f t="shared" ca="1" si="2"/>
        <v>9.1654285714285688</v>
      </c>
      <c r="H33" s="1">
        <f t="shared" ca="1" si="4"/>
        <v>9.6528000000000009</v>
      </c>
      <c r="J33">
        <f t="shared" ca="1" si="0"/>
        <v>0.11999999999999922</v>
      </c>
      <c r="K33" s="1">
        <f t="shared" ca="1" si="5"/>
        <v>0.24269999999999997</v>
      </c>
      <c r="L33" s="2">
        <f t="shared" ca="1" si="1"/>
        <v>-2.182725616754233E-2</v>
      </c>
      <c r="M33">
        <f t="shared" ca="1" si="3"/>
        <v>4.1322143475304711E-2</v>
      </c>
      <c r="N33">
        <f t="shared" ca="1" si="6"/>
        <v>86759264.349999994</v>
      </c>
      <c r="O33">
        <f t="shared" ca="1" si="7"/>
        <v>9.6528000000000009</v>
      </c>
      <c r="P33">
        <f t="shared" ca="1" si="8"/>
        <v>0.43313803561305608</v>
      </c>
      <c r="Q33">
        <f t="shared" ca="1" si="9"/>
        <v>10.519076071226113</v>
      </c>
      <c r="R33">
        <f t="shared" ca="1" si="10"/>
        <v>8.7865239287738888</v>
      </c>
    </row>
    <row r="34" spans="1:18" x14ac:dyDescent="0.25">
      <c r="A34" vm="149">
        <f ca="1"/>
        <v>45707</v>
      </c>
      <c r="B34" vm="150">
        <f ca="1"/>
        <v>9.34</v>
      </c>
      <c r="C34" vm="151">
        <f ca="1"/>
        <v>9.27</v>
      </c>
      <c r="D34" vm="152">
        <f ca="1"/>
        <v>9.39</v>
      </c>
      <c r="E34" vm="153">
        <f ca="1"/>
        <v>9.2100000000000009</v>
      </c>
      <c r="F34" vm="154">
        <f ca="1"/>
        <v>50191726</v>
      </c>
      <c r="G34" s="1">
        <f t="shared" ca="1" si="2"/>
        <v>9.2005999999999979</v>
      </c>
      <c r="H34" s="1">
        <f t="shared" ca="1" si="4"/>
        <v>9.6065500000000021</v>
      </c>
      <c r="J34">
        <f t="shared" ca="1" si="0"/>
        <v>0.17999999999999972</v>
      </c>
      <c r="K34" s="1">
        <f t="shared" ca="1" si="5"/>
        <v>0.24136499999999989</v>
      </c>
      <c r="L34" s="2">
        <f t="shared" ca="1" si="1"/>
        <v>-1.6562602002674343E-2</v>
      </c>
      <c r="M34">
        <f t="shared" ca="1" si="3"/>
        <v>3.8040270088288315E-2</v>
      </c>
      <c r="N34">
        <f t="shared" ca="1" si="6"/>
        <v>85932531.299999997</v>
      </c>
      <c r="O34">
        <f t="shared" ca="1" si="7"/>
        <v>9.6065500000000021</v>
      </c>
      <c r="P34">
        <f t="shared" ca="1" si="8"/>
        <v>0.41325641014546388</v>
      </c>
      <c r="Q34">
        <f t="shared" ca="1" si="9"/>
        <v>10.43306282029093</v>
      </c>
      <c r="R34">
        <f t="shared" ca="1" si="10"/>
        <v>8.7800371797090744</v>
      </c>
    </row>
    <row r="35" spans="1:18" x14ac:dyDescent="0.25">
      <c r="A35" vm="155">
        <f ca="1"/>
        <v>45708</v>
      </c>
      <c r="B35" vm="152">
        <f ca="1"/>
        <v>9.39</v>
      </c>
      <c r="C35" vm="138">
        <f ca="1"/>
        <v>9.33</v>
      </c>
      <c r="D35" vm="156">
        <f ca="1"/>
        <v>9.3949999999999996</v>
      </c>
      <c r="E35" vm="157">
        <f ca="1"/>
        <v>9.2799999999999994</v>
      </c>
      <c r="F35" vm="158">
        <f ca="1"/>
        <v>39787792</v>
      </c>
      <c r="G35" s="1">
        <f t="shared" ca="1" si="2"/>
        <v>9.2429142857142867</v>
      </c>
      <c r="H35" s="1">
        <f t="shared" ca="1" si="4"/>
        <v>9.5824850000000019</v>
      </c>
      <c r="J35">
        <f t="shared" ca="1" si="0"/>
        <v>0.11500000000000021</v>
      </c>
      <c r="K35" s="1">
        <f t="shared" ca="1" si="5"/>
        <v>0.23579999999999987</v>
      </c>
      <c r="L35" s="2">
        <f t="shared" ca="1" si="1"/>
        <v>-1.1297947837806355E-2</v>
      </c>
      <c r="M35">
        <f t="shared" ca="1" si="3"/>
        <v>3.4311351614401783E-2</v>
      </c>
      <c r="N35">
        <f t="shared" ca="1" si="6"/>
        <v>84622262.299999997</v>
      </c>
      <c r="O35">
        <f t="shared" ca="1" si="7"/>
        <v>9.5824850000000019</v>
      </c>
      <c r="P35">
        <f t="shared" ca="1" si="8"/>
        <v>0.41103561156386953</v>
      </c>
      <c r="Q35">
        <f t="shared" ca="1" si="9"/>
        <v>10.404556223127742</v>
      </c>
      <c r="R35">
        <f t="shared" ca="1" si="10"/>
        <v>8.7604137768722623</v>
      </c>
    </row>
    <row r="36" spans="1:18" x14ac:dyDescent="0.25">
      <c r="A36" vm="159">
        <f ca="1"/>
        <v>45709</v>
      </c>
      <c r="B36" vm="157">
        <f ca="1"/>
        <v>9.2799999999999994</v>
      </c>
      <c r="C36" vm="160">
        <f ca="1"/>
        <v>9.3800000000000008</v>
      </c>
      <c r="D36" vm="161">
        <f ca="1"/>
        <v>9.41</v>
      </c>
      <c r="E36" vm="147">
        <f ca="1"/>
        <v>9.23</v>
      </c>
      <c r="F36" vm="162">
        <f ca="1"/>
        <v>58437662</v>
      </c>
      <c r="G36" s="1">
        <f t="shared" ca="1" si="2"/>
        <v>9.2737285714285722</v>
      </c>
      <c r="H36" s="1">
        <f t="shared" ca="1" si="4"/>
        <v>9.5465200000000028</v>
      </c>
      <c r="J36">
        <f t="shared" ca="1" si="0"/>
        <v>0.17999999999999972</v>
      </c>
      <c r="K36" s="1">
        <f t="shared" ca="1" si="5"/>
        <v>0.23495999999999989</v>
      </c>
      <c r="L36" s="2">
        <f t="shared" ca="1" si="1"/>
        <v>-2.2880187000515972E-2</v>
      </c>
      <c r="M36">
        <f t="shared" ca="1" si="3"/>
        <v>3.07269046023156E-2</v>
      </c>
      <c r="N36">
        <f t="shared" ca="1" si="6"/>
        <v>84686888.400000006</v>
      </c>
      <c r="O36">
        <f t="shared" ca="1" si="7"/>
        <v>9.5465200000000028</v>
      </c>
      <c r="P36">
        <f t="shared" ca="1" si="8"/>
        <v>0.40405497359172626</v>
      </c>
      <c r="Q36">
        <f t="shared" ca="1" si="9"/>
        <v>10.354629947183454</v>
      </c>
      <c r="R36">
        <f t="shared" ca="1" si="10"/>
        <v>8.7384100528165511</v>
      </c>
    </row>
    <row r="37" spans="1:18" x14ac:dyDescent="0.25">
      <c r="A37" vm="163">
        <f ca="1"/>
        <v>45712</v>
      </c>
      <c r="B37" vm="146">
        <f ca="1"/>
        <v>9.35</v>
      </c>
      <c r="C37" vm="164">
        <f ca="1"/>
        <v>9.3049999999999997</v>
      </c>
      <c r="D37" vm="165">
        <f ca="1"/>
        <v>9.4</v>
      </c>
      <c r="E37" vm="153">
        <f ca="1"/>
        <v>9.2100000000000009</v>
      </c>
      <c r="F37" vm="166">
        <f ca="1"/>
        <v>72562637</v>
      </c>
      <c r="G37" s="1">
        <f t="shared" ca="1" si="2"/>
        <v>9.3117285714285707</v>
      </c>
      <c r="H37" s="1">
        <f t="shared" ca="1" si="4"/>
        <v>9.5160250000000026</v>
      </c>
      <c r="J37">
        <f t="shared" ca="1" si="0"/>
        <v>0.1899999999999995</v>
      </c>
      <c r="K37" s="1">
        <f t="shared" ca="1" si="5"/>
        <v>0.23363499999999987</v>
      </c>
      <c r="L37" s="2">
        <f t="shared" ca="1" si="1"/>
        <v>-1.5509671169700812E-2</v>
      </c>
      <c r="M37">
        <f t="shared" ca="1" si="3"/>
        <v>2.8598554381136367E-2</v>
      </c>
      <c r="N37">
        <f t="shared" ca="1" si="6"/>
        <v>86135078.349999994</v>
      </c>
      <c r="O37">
        <f t="shared" ca="1" si="7"/>
        <v>9.5160250000000026</v>
      </c>
      <c r="P37">
        <f t="shared" ca="1" si="8"/>
        <v>0.39410699839537305</v>
      </c>
      <c r="Q37">
        <f t="shared" ca="1" si="9"/>
        <v>10.304238996790749</v>
      </c>
      <c r="R37">
        <f t="shared" ca="1" si="10"/>
        <v>8.727811003209256</v>
      </c>
    </row>
    <row r="38" spans="1:18" x14ac:dyDescent="0.25">
      <c r="A38" vm="167">
        <f ca="1"/>
        <v>45713</v>
      </c>
      <c r="B38" vm="168">
        <f ca="1"/>
        <v>9.42</v>
      </c>
      <c r="C38" vm="169">
        <f ca="1"/>
        <v>9.3650000000000002</v>
      </c>
      <c r="D38" vm="170">
        <f ca="1"/>
        <v>9.49</v>
      </c>
      <c r="E38" vm="171">
        <f ca="1"/>
        <v>9.31</v>
      </c>
      <c r="F38" vm="172">
        <f ca="1"/>
        <v>88876827</v>
      </c>
      <c r="G38" s="1">
        <f t="shared" ca="1" si="2"/>
        <v>9.3428571428571416</v>
      </c>
      <c r="H38" s="1">
        <f t="shared" ca="1" si="4"/>
        <v>9.4762350000000009</v>
      </c>
      <c r="J38">
        <f t="shared" ca="1" si="0"/>
        <v>0.17999999999999972</v>
      </c>
      <c r="K38" s="1">
        <f t="shared" ca="1" si="5"/>
        <v>0.22688499999999986</v>
      </c>
      <c r="L38" s="2">
        <f t="shared" ca="1" si="1"/>
        <v>-8.1391553388857618E-3</v>
      </c>
      <c r="M38">
        <f t="shared" ca="1" si="3"/>
        <v>2.101306930780553E-2</v>
      </c>
      <c r="N38">
        <f t="shared" ca="1" si="6"/>
        <v>86866053.25</v>
      </c>
      <c r="O38">
        <f t="shared" ca="1" si="7"/>
        <v>9.4762350000000009</v>
      </c>
      <c r="P38">
        <f t="shared" ca="1" si="8"/>
        <v>0.35828223698936751</v>
      </c>
      <c r="Q38">
        <f t="shared" ca="1" si="9"/>
        <v>10.192799473978736</v>
      </c>
      <c r="R38">
        <f t="shared" ca="1" si="10"/>
        <v>8.7596705260212655</v>
      </c>
    </row>
    <row r="39" spans="1:18" x14ac:dyDescent="0.25">
      <c r="A39" vm="173">
        <f ca="1"/>
        <v>45714</v>
      </c>
      <c r="B39" vm="174">
        <f ca="1"/>
        <v>9.4700000000000006</v>
      </c>
      <c r="C39" vm="175">
        <f ca="1"/>
        <v>9.4600000000000009</v>
      </c>
      <c r="D39" vm="176">
        <f ca="1"/>
        <v>9.6199999999999992</v>
      </c>
      <c r="E39" vm="177">
        <f ca="1"/>
        <v>9.44</v>
      </c>
      <c r="F39" vm="178">
        <f ca="1"/>
        <v>87948083</v>
      </c>
      <c r="G39" s="1">
        <f t="shared" ca="1" si="2"/>
        <v>9.362857142857143</v>
      </c>
      <c r="H39" s="1">
        <f t="shared" ca="1" si="4"/>
        <v>9.4537100000000009</v>
      </c>
      <c r="J39">
        <f t="shared" ca="1" si="0"/>
        <v>0.17999999999999972</v>
      </c>
      <c r="K39" s="1">
        <f t="shared" ca="1" si="5"/>
        <v>0.22062999999999988</v>
      </c>
      <c r="L39" s="2">
        <f t="shared" ca="1" si="1"/>
        <v>-2.8745011740177739E-3</v>
      </c>
      <c r="M39">
        <f t="shared" ca="1" si="3"/>
        <v>1.4227958680032805E-2</v>
      </c>
      <c r="N39">
        <f t="shared" ca="1" si="6"/>
        <v>86580493.049999997</v>
      </c>
      <c r="O39">
        <f t="shared" ca="1" si="7"/>
        <v>9.4537100000000009</v>
      </c>
      <c r="P39">
        <f t="shared" ca="1" si="8"/>
        <v>0.34270418715670359</v>
      </c>
      <c r="Q39">
        <f t="shared" ca="1" si="9"/>
        <v>10.139118374313409</v>
      </c>
      <c r="R39">
        <f t="shared" ca="1" si="10"/>
        <v>8.7683016256865933</v>
      </c>
    </row>
    <row r="40" spans="1:18" x14ac:dyDescent="0.25">
      <c r="A40" vm="179">
        <f ca="1"/>
        <v>45715</v>
      </c>
      <c r="B40" vm="144">
        <f ca="1"/>
        <v>9.2899999999999991</v>
      </c>
      <c r="C40" vm="177">
        <f ca="1"/>
        <v>9.44</v>
      </c>
      <c r="D40" vm="180">
        <f ca="1"/>
        <v>9.5299999999999994</v>
      </c>
      <c r="E40" vm="144">
        <f ca="1"/>
        <v>9.2899999999999991</v>
      </c>
      <c r="F40" vm="181">
        <f ca="1"/>
        <v>70518755</v>
      </c>
      <c r="G40" s="1">
        <f t="shared" ca="1" si="2"/>
        <v>9.3628571428571412</v>
      </c>
      <c r="H40" s="1">
        <f t="shared" ca="1" si="4"/>
        <v>9.4157849999999979</v>
      </c>
      <c r="J40">
        <f t="shared" ca="1" si="0"/>
        <v>0.24000000000000021</v>
      </c>
      <c r="K40" s="1">
        <f t="shared" ca="1" si="5"/>
        <v>0.21983499999999986</v>
      </c>
      <c r="L40" s="2">
        <f t="shared" ca="1" si="1"/>
        <v>-2.182725616754233E-2</v>
      </c>
      <c r="M40">
        <f t="shared" ca="1" si="3"/>
        <v>1.3665852435447464E-2</v>
      </c>
      <c r="N40">
        <f t="shared" ca="1" si="6"/>
        <v>86550836.75</v>
      </c>
      <c r="O40">
        <f t="shared" ca="1" si="7"/>
        <v>9.4157849999999979</v>
      </c>
      <c r="P40">
        <f t="shared" ca="1" si="8"/>
        <v>0.31420214290367787</v>
      </c>
      <c r="Q40">
        <f t="shared" ca="1" si="9"/>
        <v>10.044189285807354</v>
      </c>
      <c r="R40">
        <f t="shared" ca="1" si="10"/>
        <v>8.7873807141926417</v>
      </c>
    </row>
    <row r="41" spans="1:18" x14ac:dyDescent="0.25">
      <c r="A41" vm="182">
        <f ca="1"/>
        <v>45716</v>
      </c>
      <c r="B41" vm="183">
        <f ca="1"/>
        <v>9.5500000000000007</v>
      </c>
      <c r="C41" vm="184">
        <f ca="1"/>
        <v>9.3149999999999995</v>
      </c>
      <c r="D41" vm="185">
        <f ca="1"/>
        <v>9.69</v>
      </c>
      <c r="E41" vm="171">
        <f ca="1"/>
        <v>9.31</v>
      </c>
      <c r="F41" vm="186">
        <f ca="1"/>
        <v>137992574</v>
      </c>
      <c r="G41" s="1">
        <f t="shared" ca="1" si="2"/>
        <v>9.3928571428571423</v>
      </c>
      <c r="H41" s="1">
        <f t="shared" ca="1" si="4"/>
        <v>9.3933199999999992</v>
      </c>
      <c r="J41">
        <f t="shared" ca="1" si="0"/>
        <v>0.37999999999999901</v>
      </c>
      <c r="K41" s="1">
        <f t="shared" ca="1" si="5"/>
        <v>0.22259999999999983</v>
      </c>
      <c r="L41" s="2">
        <f t="shared" ca="1" si="1"/>
        <v>5.5489454897710289E-3</v>
      </c>
      <c r="M41">
        <f t="shared" ca="1" si="3"/>
        <v>1.4721235856080565E-2</v>
      </c>
      <c r="N41">
        <f t="shared" ca="1" si="6"/>
        <v>89911320.150000006</v>
      </c>
      <c r="O41">
        <f t="shared" ca="1" si="7"/>
        <v>9.3933199999999992</v>
      </c>
      <c r="P41">
        <f t="shared" ca="1" si="8"/>
        <v>0.28499003971514891</v>
      </c>
      <c r="Q41">
        <f t="shared" ca="1" si="9"/>
        <v>9.9633000794302973</v>
      </c>
      <c r="R41">
        <f t="shared" ca="1" si="10"/>
        <v>8.8233399205697012</v>
      </c>
    </row>
    <row r="42" spans="1:18" x14ac:dyDescent="0.25">
      <c r="A42" vm="187">
        <f ca="1"/>
        <v>45719</v>
      </c>
      <c r="B42" vm="152">
        <f ca="1"/>
        <v>9.39</v>
      </c>
      <c r="C42" vm="188">
        <f ca="1"/>
        <v>9.7100000000000009</v>
      </c>
      <c r="D42" vm="189">
        <f ca="1"/>
        <v>9.82</v>
      </c>
      <c r="E42" vm="145">
        <f ca="1"/>
        <v>9.32</v>
      </c>
      <c r="F42" vm="190">
        <f ca="1"/>
        <v>154435905</v>
      </c>
      <c r="G42" s="1">
        <f t="shared" ca="1" si="2"/>
        <v>9.3928571428571423</v>
      </c>
      <c r="H42" s="1">
        <f t="shared" ca="1" si="4"/>
        <v>9.3667949999999998</v>
      </c>
      <c r="J42">
        <f t="shared" ca="1" si="0"/>
        <v>0.5</v>
      </c>
      <c r="K42" s="1">
        <f t="shared" ca="1" si="5"/>
        <v>0.22988499999999989</v>
      </c>
      <c r="L42" s="2">
        <f t="shared" ca="1" si="1"/>
        <v>-1.1297947837806355E-2</v>
      </c>
      <c r="M42">
        <f t="shared" ca="1" si="3"/>
        <v>1.3639310533354803E-2</v>
      </c>
      <c r="N42">
        <f t="shared" ca="1" si="6"/>
        <v>92363437.400000006</v>
      </c>
      <c r="O42">
        <f t="shared" ca="1" si="7"/>
        <v>9.3667949999999998</v>
      </c>
      <c r="P42">
        <f t="shared" ca="1" si="8"/>
        <v>0.25661643397142464</v>
      </c>
      <c r="Q42">
        <f t="shared" ca="1" si="9"/>
        <v>9.8800278679428484</v>
      </c>
      <c r="R42">
        <f t="shared" ca="1" si="10"/>
        <v>8.8535621320571511</v>
      </c>
    </row>
    <row r="43" spans="1:18" x14ac:dyDescent="0.25">
      <c r="A43" vm="191">
        <f ca="1"/>
        <v>45720</v>
      </c>
      <c r="B43" vm="192">
        <f ca="1"/>
        <v>9.1199999999999992</v>
      </c>
      <c r="C43" vm="147">
        <f ca="1"/>
        <v>9.23</v>
      </c>
      <c r="D43" vm="151">
        <f ca="1"/>
        <v>9.27</v>
      </c>
      <c r="E43" vm="193">
        <f ca="1"/>
        <v>9.06</v>
      </c>
      <c r="F43" vm="194">
        <f ca="1"/>
        <v>167499954</v>
      </c>
      <c r="G43" s="1">
        <f t="shared" ca="1" si="2"/>
        <v>9.370000000000001</v>
      </c>
      <c r="H43" s="1">
        <f t="shared" ca="1" si="4"/>
        <v>9.3361199999999993</v>
      </c>
      <c r="J43">
        <f t="shared" ca="1" si="0"/>
        <v>0.20999999999999908</v>
      </c>
      <c r="K43" s="1">
        <f t="shared" ca="1" si="5"/>
        <v>0.21774499999999986</v>
      </c>
      <c r="L43" s="2">
        <f t="shared" ca="1" si="1"/>
        <v>-3.9727080328093245E-2</v>
      </c>
      <c r="M43">
        <f t="shared" ca="1" si="3"/>
        <v>1.2881823034698018E-2</v>
      </c>
      <c r="N43">
        <f t="shared" ca="1" si="6"/>
        <v>94061288.900000006</v>
      </c>
      <c r="O43">
        <f t="shared" ca="1" si="7"/>
        <v>9.3361199999999993</v>
      </c>
      <c r="P43">
        <f t="shared" ca="1" si="8"/>
        <v>0.24696089526375173</v>
      </c>
      <c r="Q43">
        <f t="shared" ca="1" si="9"/>
        <v>9.8300417905275026</v>
      </c>
      <c r="R43">
        <f t="shared" ca="1" si="10"/>
        <v>8.842198209472496</v>
      </c>
    </row>
    <row r="44" spans="1:18" x14ac:dyDescent="0.25">
      <c r="A44" vm="195">
        <f ca="1"/>
        <v>45721</v>
      </c>
      <c r="B44" vm="196">
        <f ca="1"/>
        <v>9.65</v>
      </c>
      <c r="C44" vm="197">
        <f ca="1"/>
        <v>9.26</v>
      </c>
      <c r="D44" vm="198">
        <f ca="1"/>
        <v>9.67</v>
      </c>
      <c r="E44" vm="199">
        <f ca="1"/>
        <v>9.1999999999999993</v>
      </c>
      <c r="F44" vm="200">
        <f ca="1"/>
        <v>157774904</v>
      </c>
      <c r="G44" s="1">
        <f t="shared" ca="1" si="2"/>
        <v>9.4128571428571437</v>
      </c>
      <c r="H44" s="1">
        <f t="shared" ca="1" si="4"/>
        <v>9.3186549999999997</v>
      </c>
      <c r="J44">
        <f t="shared" ca="1" si="0"/>
        <v>0.47000000000000064</v>
      </c>
      <c r="K44" s="1">
        <f t="shared" ca="1" si="5"/>
        <v>0.22869499999999993</v>
      </c>
      <c r="L44" s="2">
        <f t="shared" ca="1" si="1"/>
        <v>1.6078253819506783E-2</v>
      </c>
      <c r="M44">
        <f t="shared" ca="1" si="3"/>
        <v>1.3721580380284534E-2</v>
      </c>
      <c r="N44">
        <f t="shared" ca="1" si="6"/>
        <v>98458981.700000003</v>
      </c>
      <c r="O44">
        <f t="shared" ca="1" si="7"/>
        <v>9.3186549999999997</v>
      </c>
      <c r="P44">
        <f t="shared" ca="1" si="8"/>
        <v>0.20665460753583392</v>
      </c>
      <c r="Q44">
        <f t="shared" ca="1" si="9"/>
        <v>9.7319642150716668</v>
      </c>
      <c r="R44">
        <f t="shared" ca="1" si="10"/>
        <v>8.9053457849283326</v>
      </c>
    </row>
    <row r="45" spans="1:18" x14ac:dyDescent="0.25">
      <c r="A45" vm="201">
        <f ca="1"/>
        <v>45722</v>
      </c>
      <c r="B45" vm="202">
        <f ca="1"/>
        <v>9.61</v>
      </c>
      <c r="C45" vm="203">
        <f ca="1"/>
        <v>9.5150000000000006</v>
      </c>
      <c r="D45" vm="204">
        <f ca="1"/>
        <v>9.7200000000000006</v>
      </c>
      <c r="E45" vm="168">
        <f ca="1"/>
        <v>9.42</v>
      </c>
      <c r="F45" vm="205">
        <f ca="1"/>
        <v>136680746</v>
      </c>
      <c r="G45" s="1">
        <f t="shared" ca="1" si="2"/>
        <v>9.44</v>
      </c>
      <c r="H45" s="1">
        <f t="shared" ca="1" si="4"/>
        <v>9.3065750000000005</v>
      </c>
      <c r="J45">
        <f t="shared" ca="1" si="0"/>
        <v>0.30000000000000071</v>
      </c>
      <c r="K45" s="1">
        <f t="shared" ca="1" si="5"/>
        <v>0.22622499999999998</v>
      </c>
      <c r="L45" s="2">
        <f t="shared" ca="1" si="1"/>
        <v>1.1866530487612215E-2</v>
      </c>
      <c r="M45">
        <f t="shared" ca="1" si="3"/>
        <v>1.439232566816471E-2</v>
      </c>
      <c r="N45">
        <f t="shared" ca="1" si="6"/>
        <v>98983816.75</v>
      </c>
      <c r="O45">
        <f t="shared" ca="1" si="7"/>
        <v>9.3065750000000005</v>
      </c>
      <c r="P45">
        <f t="shared" ca="1" si="8"/>
        <v>0.17908384062690944</v>
      </c>
      <c r="Q45">
        <f t="shared" ca="1" si="9"/>
        <v>9.66474268125382</v>
      </c>
      <c r="R45">
        <f t="shared" ca="1" si="10"/>
        <v>8.948407318746181</v>
      </c>
    </row>
    <row r="46" spans="1:18" x14ac:dyDescent="0.25">
      <c r="A46" vm="206">
        <f ca="1"/>
        <v>45723</v>
      </c>
      <c r="B46" vm="207">
        <f ca="1"/>
        <v>9.9</v>
      </c>
      <c r="C46" vm="208">
        <f ca="1"/>
        <v>9.5399999999999991</v>
      </c>
      <c r="D46" vm="209">
        <f ca="1"/>
        <v>9.9600000000000009</v>
      </c>
      <c r="E46" vm="210">
        <f ca="1"/>
        <v>9.51</v>
      </c>
      <c r="F46" vm="211">
        <f ca="1"/>
        <v>150644884</v>
      </c>
      <c r="G46" s="1">
        <f t="shared" ca="1" si="2"/>
        <v>9.5014285714285727</v>
      </c>
      <c r="H46" s="1">
        <f t="shared" ca="1" si="4"/>
        <v>9.3458999999999985</v>
      </c>
      <c r="J46">
        <f t="shared" ca="1" si="0"/>
        <v>0.45000000000000107</v>
      </c>
      <c r="K46" s="1">
        <f t="shared" ca="1" si="5"/>
        <v>0.23002500000000001</v>
      </c>
      <c r="L46" s="2">
        <f t="shared" ca="1" si="1"/>
        <v>4.2401524643846278E-2</v>
      </c>
      <c r="M46">
        <f t="shared" ca="1" si="3"/>
        <v>1.9763464739750283E-2</v>
      </c>
      <c r="N46">
        <f t="shared" ca="1" si="6"/>
        <v>95199109.349999994</v>
      </c>
      <c r="O46">
        <f t="shared" ca="1" si="7"/>
        <v>9.3458999999999985</v>
      </c>
      <c r="P46">
        <f t="shared" ca="1" si="8"/>
        <v>0.21683071009915864</v>
      </c>
      <c r="Q46">
        <f t="shared" ca="1" si="9"/>
        <v>9.7795614201983163</v>
      </c>
      <c r="R46">
        <f t="shared" ca="1" si="10"/>
        <v>8.9122385798016808</v>
      </c>
    </row>
    <row r="47" spans="1:18" x14ac:dyDescent="0.25">
      <c r="A47" vm="212">
        <f ca="1"/>
        <v>45726</v>
      </c>
      <c r="B47" vm="209">
        <f ca="1"/>
        <v>9.9600000000000009</v>
      </c>
      <c r="C47" vm="213">
        <f ca="1"/>
        <v>9.77</v>
      </c>
      <c r="D47" vm="214">
        <f ca="1"/>
        <v>10.14</v>
      </c>
      <c r="E47" vm="213">
        <f ca="1"/>
        <v>9.77</v>
      </c>
      <c r="F47" vm="215">
        <f ca="1"/>
        <v>167183809</v>
      </c>
      <c r="G47" s="1">
        <f t="shared" ca="1" si="2"/>
        <v>9.5971428571428579</v>
      </c>
      <c r="H47" s="1">
        <f t="shared" ca="1" si="4"/>
        <v>9.3892100000000003</v>
      </c>
      <c r="J47">
        <f t="shared" ca="1" si="0"/>
        <v>0.37000000000000099</v>
      </c>
      <c r="K47" s="1">
        <f t="shared" ca="1" si="5"/>
        <v>0.2401600000000001</v>
      </c>
      <c r="L47" s="2">
        <f t="shared" ca="1" si="1"/>
        <v>4.8719109641687908E-2</v>
      </c>
      <c r="M47">
        <f t="shared" ca="1" si="3"/>
        <v>2.3871593081727774E-2</v>
      </c>
      <c r="N47">
        <f t="shared" ca="1" si="6"/>
        <v>96402457.849999994</v>
      </c>
      <c r="O47">
        <f t="shared" ca="1" si="7"/>
        <v>9.3892100000000003</v>
      </c>
      <c r="P47">
        <f t="shared" ca="1" si="8"/>
        <v>0.24808157168666617</v>
      </c>
      <c r="Q47">
        <f t="shared" ca="1" si="9"/>
        <v>9.8853731433733323</v>
      </c>
      <c r="R47">
        <f t="shared" ca="1" si="10"/>
        <v>8.8930468566266683</v>
      </c>
    </row>
    <row r="48" spans="1:18" x14ac:dyDescent="0.25">
      <c r="A48" vm="216">
        <f ca="1"/>
        <v>45727</v>
      </c>
      <c r="B48" vm="185">
        <f ca="1"/>
        <v>9.69</v>
      </c>
      <c r="C48" vm="217">
        <f ca="1"/>
        <v>9.92</v>
      </c>
      <c r="D48" vm="209">
        <f ca="1"/>
        <v>9.9600000000000009</v>
      </c>
      <c r="E48" vm="170">
        <f ca="1"/>
        <v>9.49</v>
      </c>
      <c r="F48" vm="218">
        <f ca="1"/>
        <v>210126974</v>
      </c>
      <c r="G48" s="1">
        <f t="shared" ca="1" si="2"/>
        <v>9.6171428571428557</v>
      </c>
      <c r="H48" s="1">
        <f t="shared" ca="1" si="4"/>
        <v>9.4190199999999997</v>
      </c>
      <c r="J48">
        <f t="shared" ca="1" si="0"/>
        <v>0.47000000000000064</v>
      </c>
      <c r="K48" s="1">
        <f t="shared" ca="1" si="5"/>
        <v>0.25480000000000008</v>
      </c>
      <c r="L48" s="2">
        <f t="shared" ca="1" si="1"/>
        <v>2.0289977151400906E-2</v>
      </c>
      <c r="M48">
        <f t="shared" ca="1" si="3"/>
        <v>2.4131419743223574E-2</v>
      </c>
      <c r="N48">
        <f t="shared" ca="1" si="6"/>
        <v>103242403.45</v>
      </c>
      <c r="O48">
        <f t="shared" ca="1" si="7"/>
        <v>9.4190199999999997</v>
      </c>
      <c r="P48">
        <f t="shared" ca="1" si="8"/>
        <v>0.24653169882657269</v>
      </c>
      <c r="Q48">
        <f t="shared" ca="1" si="9"/>
        <v>9.9120833976531451</v>
      </c>
      <c r="R48">
        <f t="shared" ca="1" si="10"/>
        <v>8.9259566023468544</v>
      </c>
    </row>
    <row r="49" spans="1:18" x14ac:dyDescent="0.25">
      <c r="A49" vm="219">
        <f ca="1"/>
        <v>45728</v>
      </c>
      <c r="B49" vm="220">
        <f ca="1"/>
        <v>9.59</v>
      </c>
      <c r="C49" vm="221">
        <f ca="1"/>
        <v>9.6999999999999993</v>
      </c>
      <c r="D49" vm="188">
        <f ca="1"/>
        <v>9.7100000000000009</v>
      </c>
      <c r="E49" vm="175">
        <f ca="1"/>
        <v>9.4600000000000009</v>
      </c>
      <c r="F49" vm="222">
        <f ca="1"/>
        <v>129994592</v>
      </c>
      <c r="G49" s="1">
        <f t="shared" ca="1" si="2"/>
        <v>9.6457142857142859</v>
      </c>
      <c r="H49" s="1">
        <f t="shared" ca="1" si="4"/>
        <v>9.4453050000000012</v>
      </c>
      <c r="J49">
        <f t="shared" ca="1" si="0"/>
        <v>0.25</v>
      </c>
      <c r="K49" s="1">
        <f t="shared" ca="1" si="5"/>
        <v>0.2628700000000001</v>
      </c>
      <c r="L49" s="2">
        <f t="shared" ca="1" si="1"/>
        <v>9.7606688216651527E-3</v>
      </c>
      <c r="M49">
        <f t="shared" ca="1" si="3"/>
        <v>2.3985650424172705E-2</v>
      </c>
      <c r="N49">
        <f t="shared" ca="1" si="6"/>
        <v>106955824.55</v>
      </c>
      <c r="O49">
        <f t="shared" ca="1" si="7"/>
        <v>9.4453050000000012</v>
      </c>
      <c r="P49">
        <f t="shared" ca="1" si="8"/>
        <v>0.23445003389792243</v>
      </c>
      <c r="Q49">
        <f t="shared" ca="1" si="9"/>
        <v>9.9142050677958462</v>
      </c>
      <c r="R49">
        <f t="shared" ca="1" si="10"/>
        <v>8.9764049322041561</v>
      </c>
    </row>
    <row r="50" spans="1:18" x14ac:dyDescent="0.25">
      <c r="A50" vm="223">
        <f ca="1"/>
        <v>45729</v>
      </c>
      <c r="B50" vm="180">
        <f ca="1"/>
        <v>9.5299999999999994</v>
      </c>
      <c r="C50" vm="224">
        <f ca="1"/>
        <v>9.57</v>
      </c>
      <c r="D50" vm="225">
        <f ca="1"/>
        <v>9.9499999999999993</v>
      </c>
      <c r="E50" vm="226">
        <f ca="1"/>
        <v>9.5</v>
      </c>
      <c r="F50" vm="227">
        <f ca="1"/>
        <v>137747632</v>
      </c>
      <c r="G50" s="1">
        <f t="shared" ca="1" si="2"/>
        <v>9.7042857142857137</v>
      </c>
      <c r="H50" s="1">
        <f t="shared" ca="1" si="4"/>
        <v>9.4676050000000007</v>
      </c>
      <c r="J50">
        <f t="shared" ca="1" si="0"/>
        <v>0.44999999999999929</v>
      </c>
      <c r="K50" s="1">
        <f t="shared" ca="1" si="5"/>
        <v>0.27602000000000004</v>
      </c>
      <c r="L50" s="2">
        <f t="shared" ca="1" si="1"/>
        <v>3.4430838238235228E-3</v>
      </c>
      <c r="M50">
        <f t="shared" ca="1" si="3"/>
        <v>2.2946123483234483E-2</v>
      </c>
      <c r="N50">
        <f t="shared" ca="1" si="6"/>
        <v>110422106.45</v>
      </c>
      <c r="O50">
        <f t="shared" ca="1" si="7"/>
        <v>9.4676050000000007</v>
      </c>
      <c r="P50">
        <f t="shared" ca="1" si="8"/>
        <v>0.21897556815171995</v>
      </c>
      <c r="Q50">
        <f t="shared" ca="1" si="9"/>
        <v>9.9055561363034403</v>
      </c>
      <c r="R50">
        <f t="shared" ca="1" si="10"/>
        <v>9.0296538636965611</v>
      </c>
    </row>
    <row r="51" spans="1:18" x14ac:dyDescent="0.25">
      <c r="A51" vm="228">
        <f ca="1"/>
        <v>45730</v>
      </c>
      <c r="B51" vm="229">
        <f ca="1"/>
        <v>9.73</v>
      </c>
      <c r="C51" vm="230">
        <f ca="1"/>
        <v>9.66</v>
      </c>
      <c r="D51" vm="231">
        <f ca="1"/>
        <v>9.7899999999999991</v>
      </c>
      <c r="E51" vm="232">
        <f ca="1"/>
        <v>9.64</v>
      </c>
      <c r="F51" vm="233">
        <f ca="1"/>
        <v>91313759</v>
      </c>
      <c r="G51" s="1">
        <f t="shared" ca="1" si="2"/>
        <v>9.7157142857142862</v>
      </c>
      <c r="H51" s="1">
        <f t="shared" ca="1" si="4"/>
        <v>9.4940000000000015</v>
      </c>
      <c r="J51">
        <f t="shared" ca="1" si="0"/>
        <v>0.14999999999999858</v>
      </c>
      <c r="K51" s="1">
        <f t="shared" ca="1" si="5"/>
        <v>0.27515499999999993</v>
      </c>
      <c r="L51" s="2">
        <f t="shared" ca="1" si="1"/>
        <v>2.4501700483295474E-2</v>
      </c>
      <c r="M51">
        <f t="shared" ca="1" si="3"/>
        <v>2.2805180001823019E-2</v>
      </c>
      <c r="N51">
        <f t="shared" ca="1" si="6"/>
        <v>111326888.09999999</v>
      </c>
      <c r="O51">
        <f t="shared" ca="1" si="7"/>
        <v>9.4940000000000015</v>
      </c>
      <c r="P51">
        <f t="shared" ca="1" si="8"/>
        <v>0.21709566166966487</v>
      </c>
      <c r="Q51">
        <f t="shared" ca="1" si="9"/>
        <v>9.9281913233393304</v>
      </c>
      <c r="R51">
        <f t="shared" ca="1" si="10"/>
        <v>9.0598086766606727</v>
      </c>
    </row>
    <row r="52" spans="1:18" x14ac:dyDescent="0.25">
      <c r="A52" vm="234">
        <f ca="1"/>
        <v>45733</v>
      </c>
      <c r="B52" vm="217">
        <f ca="1"/>
        <v>9.92</v>
      </c>
      <c r="C52" vm="235">
        <f ca="1"/>
        <v>9.74</v>
      </c>
      <c r="D52" vm="236">
        <f ca="1"/>
        <v>9.98</v>
      </c>
      <c r="E52" vm="235">
        <f ca="1"/>
        <v>9.74</v>
      </c>
      <c r="F52" vm="237">
        <f ca="1"/>
        <v>98583068</v>
      </c>
      <c r="G52" s="1">
        <f t="shared" ca="1" si="2"/>
        <v>9.7600000000000016</v>
      </c>
      <c r="H52" s="1">
        <f t="shared" ca="1" si="4"/>
        <v>9.5235000000000003</v>
      </c>
      <c r="I52" s="1">
        <f t="shared" ref="I52:I83" ca="1" si="11">AVERAGE(B3:B52)</f>
        <v>9.6150759999999984</v>
      </c>
      <c r="J52">
        <f t="shared" ca="1" si="0"/>
        <v>0.24000000000000021</v>
      </c>
      <c r="K52" s="1">
        <f t="shared" ca="1" si="5"/>
        <v>0.28124999999999989</v>
      </c>
      <c r="L52" s="2">
        <f t="shared" ca="1" si="1"/>
        <v>4.450738630979334E-2</v>
      </c>
      <c r="M52">
        <f t="shared" ca="1" si="3"/>
        <v>2.4282720520671989E-2</v>
      </c>
      <c r="N52">
        <f t="shared" ca="1" si="6"/>
        <v>113523902.34999999</v>
      </c>
      <c r="O52">
        <f t="shared" ca="1" si="7"/>
        <v>9.5235000000000003</v>
      </c>
      <c r="P52">
        <f t="shared" ca="1" si="8"/>
        <v>0.23313142893632957</v>
      </c>
      <c r="Q52">
        <f t="shared" ca="1" si="9"/>
        <v>9.9897628578726589</v>
      </c>
      <c r="R52">
        <f t="shared" ca="1" si="10"/>
        <v>9.0572371421273417</v>
      </c>
    </row>
    <row r="53" spans="1:18" x14ac:dyDescent="0.25">
      <c r="A53" vm="238">
        <f ca="1"/>
        <v>45734</v>
      </c>
      <c r="B53" vm="225">
        <f ca="1"/>
        <v>9.9499999999999993</v>
      </c>
      <c r="C53" vm="225">
        <f ca="1"/>
        <v>9.9499999999999993</v>
      </c>
      <c r="D53" vm="239">
        <f ca="1"/>
        <v>10.039999999999999</v>
      </c>
      <c r="E53" vm="240">
        <f ca="1"/>
        <v>9.8800000000000008</v>
      </c>
      <c r="F53" vm="241">
        <f ca="1"/>
        <v>102730930</v>
      </c>
      <c r="G53" s="1">
        <f t="shared" ca="1" si="2"/>
        <v>9.7671428571428578</v>
      </c>
      <c r="H53" s="1">
        <f t="shared" ca="1" si="4"/>
        <v>9.556499999999998</v>
      </c>
      <c r="I53" s="1">
        <f t="shared" ca="1" si="11"/>
        <v>9.6241299999999974</v>
      </c>
      <c r="J53">
        <f t="shared" ca="1" si="0"/>
        <v>0.15999999999999837</v>
      </c>
      <c r="K53" s="1">
        <f t="shared" ca="1" si="5"/>
        <v>0.28324999999999989</v>
      </c>
      <c r="L53" s="2">
        <f t="shared" ca="1" si="1"/>
        <v>4.7666178808714044E-2</v>
      </c>
      <c r="M53">
        <f t="shared" ca="1" si="3"/>
        <v>2.5695193267689011E-2</v>
      </c>
      <c r="N53">
        <f t="shared" ca="1" si="6"/>
        <v>115551660.65000001</v>
      </c>
      <c r="O53">
        <f t="shared" ca="1" si="7"/>
        <v>9.556499999999998</v>
      </c>
      <c r="P53">
        <f t="shared" ca="1" si="8"/>
        <v>0.24476143057013072</v>
      </c>
      <c r="Q53">
        <f t="shared" ca="1" si="9"/>
        <v>10.04602286114026</v>
      </c>
      <c r="R53">
        <f t="shared" ca="1" si="10"/>
        <v>9.0669771388597358</v>
      </c>
    </row>
    <row r="54" spans="1:18" x14ac:dyDescent="0.25">
      <c r="A54" vm="242">
        <f ca="1"/>
        <v>45735</v>
      </c>
      <c r="B54" vm="243">
        <f ca="1"/>
        <v>10.17</v>
      </c>
      <c r="C54" vm="209">
        <f ca="1"/>
        <v>9.9600000000000009</v>
      </c>
      <c r="D54" vm="244">
        <f ca="1"/>
        <v>10.28</v>
      </c>
      <c r="E54" vm="245">
        <f ca="1"/>
        <v>9.9450000000000003</v>
      </c>
      <c r="F54" vm="246">
        <f ca="1"/>
        <v>124697379</v>
      </c>
      <c r="G54" s="1">
        <f t="shared" ca="1" si="2"/>
        <v>9.7971428571428589</v>
      </c>
      <c r="H54" s="1">
        <f t="shared" ref="H54:H85" ca="1" si="12">AVERAGE(B35:B54)</f>
        <v>9.597999999999999</v>
      </c>
      <c r="I54" s="1">
        <f t="shared" ca="1" si="11"/>
        <v>9.6330559999999981</v>
      </c>
      <c r="J54">
        <f t="shared" ca="1" si="0"/>
        <v>0.33499999999999908</v>
      </c>
      <c r="K54" s="1">
        <f t="shared" ca="1" si="5"/>
        <v>0.29099999999999981</v>
      </c>
      <c r="L54" s="2">
        <f t="shared" ca="1" si="1"/>
        <v>7.0830657134132835E-2</v>
      </c>
      <c r="M54">
        <f t="shared" ca="1" si="3"/>
        <v>2.7383225804918771E-2</v>
      </c>
      <c r="N54">
        <f t="shared" ca="1" si="6"/>
        <v>119276943.3</v>
      </c>
      <c r="O54">
        <f t="shared" ca="1" si="7"/>
        <v>9.597999999999999</v>
      </c>
      <c r="P54">
        <f t="shared" ca="1" si="8"/>
        <v>0.27465959793322753</v>
      </c>
      <c r="Q54">
        <f t="shared" ca="1" si="9"/>
        <v>10.147319195866453</v>
      </c>
      <c r="R54">
        <f t="shared" ca="1" si="10"/>
        <v>9.0486808041335447</v>
      </c>
    </row>
    <row r="55" spans="1:18" x14ac:dyDescent="0.25">
      <c r="A55" vm="247">
        <f ca="1"/>
        <v>45736</v>
      </c>
      <c r="B55" vm="248">
        <f ca="1"/>
        <v>10.01</v>
      </c>
      <c r="C55" vm="249">
        <f ca="1"/>
        <v>10.07</v>
      </c>
      <c r="D55" vm="250">
        <f ca="1"/>
        <v>10.15</v>
      </c>
      <c r="E55" vm="251">
        <f ca="1"/>
        <v>9.99</v>
      </c>
      <c r="F55" vm="252">
        <f ca="1"/>
        <v>109103733</v>
      </c>
      <c r="G55" s="1">
        <f t="shared" ca="1" si="2"/>
        <v>9.8428571428571434</v>
      </c>
      <c r="H55" s="1">
        <f t="shared" ca="1" si="12"/>
        <v>9.6289999999999978</v>
      </c>
      <c r="I55" s="1">
        <f t="shared" ca="1" si="11"/>
        <v>9.6379939999999991</v>
      </c>
      <c r="J55">
        <f t="shared" ca="1" si="0"/>
        <v>0.16000000000000014</v>
      </c>
      <c r="K55" s="1">
        <f t="shared" ca="1" si="5"/>
        <v>0.29324999999999984</v>
      </c>
      <c r="L55" s="2">
        <f t="shared" ca="1" si="1"/>
        <v>5.3983763806555674E-2</v>
      </c>
      <c r="M55">
        <f t="shared" ca="1" si="3"/>
        <v>2.8253099017612891E-2</v>
      </c>
      <c r="N55">
        <f t="shared" ca="1" si="6"/>
        <v>122742740.34999999</v>
      </c>
      <c r="O55">
        <f t="shared" ca="1" si="7"/>
        <v>9.6289999999999978</v>
      </c>
      <c r="P55">
        <f t="shared" ca="1" si="8"/>
        <v>0.28475104546732916</v>
      </c>
      <c r="Q55">
        <f t="shared" ca="1" si="9"/>
        <v>10.198502090934657</v>
      </c>
      <c r="R55">
        <f t="shared" ca="1" si="10"/>
        <v>9.0594979090653389</v>
      </c>
    </row>
    <row r="56" spans="1:18" x14ac:dyDescent="0.25">
      <c r="A56" vm="253">
        <f ca="1"/>
        <v>45737</v>
      </c>
      <c r="B56" vm="254">
        <f ca="1"/>
        <v>10</v>
      </c>
      <c r="C56" vm="255">
        <f ca="1"/>
        <v>9.9149999999999991</v>
      </c>
      <c r="D56" vm="256">
        <f ca="1"/>
        <v>10.119999999999999</v>
      </c>
      <c r="E56" vm="257">
        <f ca="1"/>
        <v>9.83</v>
      </c>
      <c r="F56" vm="258">
        <f ca="1"/>
        <v>240638631</v>
      </c>
      <c r="G56" s="1">
        <f t="shared" ca="1" si="2"/>
        <v>9.9014285714285712</v>
      </c>
      <c r="H56" s="1">
        <f t="shared" ca="1" si="12"/>
        <v>9.6649999999999974</v>
      </c>
      <c r="I56" s="1">
        <f t="shared" ca="1" si="11"/>
        <v>9.6458819999999985</v>
      </c>
      <c r="J56">
        <f t="shared" ca="1" si="0"/>
        <v>0.28999999999999915</v>
      </c>
      <c r="K56" s="1">
        <f t="shared" ca="1" si="5"/>
        <v>0.29874999999999979</v>
      </c>
      <c r="L56" s="2">
        <f t="shared" ca="1" si="1"/>
        <v>5.2930832973582032E-2</v>
      </c>
      <c r="M56">
        <f t="shared" ca="1" si="3"/>
        <v>2.7264917717720185E-2</v>
      </c>
      <c r="N56">
        <f t="shared" ca="1" si="6"/>
        <v>131852788.8</v>
      </c>
      <c r="O56">
        <f t="shared" ca="1" si="7"/>
        <v>9.6649999999999974</v>
      </c>
      <c r="P56">
        <f t="shared" ca="1" si="8"/>
        <v>0.2838179549974727</v>
      </c>
      <c r="Q56">
        <f t="shared" ca="1" si="9"/>
        <v>10.232635909994944</v>
      </c>
      <c r="R56">
        <f t="shared" ca="1" si="10"/>
        <v>9.0973640900050512</v>
      </c>
    </row>
    <row r="57" spans="1:18" x14ac:dyDescent="0.25">
      <c r="A57" vm="259">
        <f ca="1"/>
        <v>45740</v>
      </c>
      <c r="B57" vm="260">
        <f ca="1"/>
        <v>10.25</v>
      </c>
      <c r="C57" vm="239">
        <f ca="1"/>
        <v>10.039999999999999</v>
      </c>
      <c r="D57" vm="260">
        <f ca="1"/>
        <v>10.25</v>
      </c>
      <c r="E57" vm="248">
        <f ca="1"/>
        <v>10.01</v>
      </c>
      <c r="F57" vm="261">
        <f ca="1"/>
        <v>102847191</v>
      </c>
      <c r="G57" s="1">
        <f t="shared" ca="1" si="2"/>
        <v>10.004285714285714</v>
      </c>
      <c r="H57" s="1">
        <f t="shared" ca="1" si="12"/>
        <v>9.7099999999999973</v>
      </c>
      <c r="I57" s="1">
        <f t="shared" ca="1" si="11"/>
        <v>9.6591639999999988</v>
      </c>
      <c r="J57">
        <f t="shared" ca="1" si="0"/>
        <v>0.24000000000000021</v>
      </c>
      <c r="K57" s="1">
        <f t="shared" ca="1" si="5"/>
        <v>0.30124999999999985</v>
      </c>
      <c r="L57" s="2">
        <f t="shared" ca="1" si="1"/>
        <v>7.9254103797921527E-2</v>
      </c>
      <c r="M57">
        <f t="shared" ca="1" si="3"/>
        <v>2.2641385834271919E-2</v>
      </c>
      <c r="N57">
        <f t="shared" ca="1" si="6"/>
        <v>133367016.5</v>
      </c>
      <c r="O57">
        <f t="shared" ca="1" si="7"/>
        <v>9.7099999999999973</v>
      </c>
      <c r="P57">
        <f t="shared" ca="1" si="8"/>
        <v>0.30201080496530175</v>
      </c>
      <c r="Q57">
        <f t="shared" ca="1" si="9"/>
        <v>10.314021609930601</v>
      </c>
      <c r="R57">
        <f t="shared" ca="1" si="10"/>
        <v>9.105978390069394</v>
      </c>
    </row>
    <row r="58" spans="1:18" x14ac:dyDescent="0.25">
      <c r="A58" vm="262">
        <f ca="1"/>
        <v>45741</v>
      </c>
      <c r="B58" vm="263">
        <f ca="1"/>
        <v>10.29</v>
      </c>
      <c r="C58" vm="264">
        <f ca="1"/>
        <v>10.3</v>
      </c>
      <c r="D58" vm="265">
        <f ca="1"/>
        <v>10.35</v>
      </c>
      <c r="E58" vm="243">
        <f ca="1"/>
        <v>10.17</v>
      </c>
      <c r="F58" vm="266">
        <f ca="1"/>
        <v>83674856</v>
      </c>
      <c r="G58" s="1">
        <f t="shared" ca="1" si="2"/>
        <v>10.084285714285715</v>
      </c>
      <c r="H58" s="1">
        <f t="shared" ca="1" si="12"/>
        <v>9.7534999999999989</v>
      </c>
      <c r="I58" s="1">
        <f t="shared" ca="1" si="11"/>
        <v>9.6750179999999997</v>
      </c>
      <c r="J58">
        <f t="shared" ca="1" si="0"/>
        <v>0.17999999999999972</v>
      </c>
      <c r="K58" s="1">
        <f t="shared" ca="1" si="5"/>
        <v>0.30124999999999985</v>
      </c>
      <c r="L58" s="2">
        <f t="shared" ca="1" si="1"/>
        <v>8.3465827129815873E-2</v>
      </c>
      <c r="M58">
        <f t="shared" ca="1" si="3"/>
        <v>2.4632409695388536E-2</v>
      </c>
      <c r="N58">
        <f t="shared" ca="1" si="6"/>
        <v>133106917.95</v>
      </c>
      <c r="O58">
        <f t="shared" ca="1" si="7"/>
        <v>9.7534999999999989</v>
      </c>
      <c r="P58">
        <f t="shared" ca="1" si="8"/>
        <v>0.32015251299802</v>
      </c>
      <c r="Q58">
        <f t="shared" ca="1" si="9"/>
        <v>10.39380502599604</v>
      </c>
      <c r="R58">
        <f t="shared" ca="1" si="10"/>
        <v>9.1131949740039584</v>
      </c>
    </row>
    <row r="59" spans="1:18" x14ac:dyDescent="0.25">
      <c r="A59" vm="267">
        <f ca="1"/>
        <v>45742</v>
      </c>
      <c r="B59" vm="264">
        <f ca="1"/>
        <v>10.3</v>
      </c>
      <c r="C59" vm="268">
        <f ca="1"/>
        <v>10.27</v>
      </c>
      <c r="D59" vm="265">
        <f ca="1"/>
        <v>10.35</v>
      </c>
      <c r="E59" vm="269">
        <f ca="1"/>
        <v>10.09</v>
      </c>
      <c r="F59" vm="270">
        <f ca="1"/>
        <v>140975582</v>
      </c>
      <c r="G59" s="1">
        <f t="shared" ca="1" si="2"/>
        <v>10.138571428571428</v>
      </c>
      <c r="H59" s="1">
        <f t="shared" ca="1" si="12"/>
        <v>9.7949999999999982</v>
      </c>
      <c r="I59" s="1">
        <f t="shared" ca="1" si="11"/>
        <v>9.6898900000000001</v>
      </c>
      <c r="J59">
        <f t="shared" ca="1" si="0"/>
        <v>0.25999999999999979</v>
      </c>
      <c r="K59" s="1">
        <f t="shared" ca="1" si="5"/>
        <v>0.30524999999999985</v>
      </c>
      <c r="L59" s="2">
        <f t="shared" ca="1" si="1"/>
        <v>8.4518757962789515E-2</v>
      </c>
      <c r="M59">
        <f t="shared" ca="1" si="3"/>
        <v>2.5296850809698727E-2</v>
      </c>
      <c r="N59">
        <f t="shared" ca="1" si="6"/>
        <v>135758292.90000001</v>
      </c>
      <c r="O59">
        <f t="shared" ca="1" si="7"/>
        <v>9.7949999999999982</v>
      </c>
      <c r="P59">
        <f t="shared" ca="1" si="8"/>
        <v>0.3349234005120072</v>
      </c>
      <c r="Q59">
        <f t="shared" ca="1" si="9"/>
        <v>10.464846801024013</v>
      </c>
      <c r="R59">
        <f t="shared" ca="1" si="10"/>
        <v>9.1251531989759833</v>
      </c>
    </row>
    <row r="60" spans="1:18" x14ac:dyDescent="0.25">
      <c r="A60" vm="271">
        <f ca="1"/>
        <v>45743</v>
      </c>
      <c r="B60" vm="207">
        <f ca="1"/>
        <v>9.9</v>
      </c>
      <c r="C60" vm="272">
        <f ca="1"/>
        <v>10.26</v>
      </c>
      <c r="D60" vm="273">
        <f ca="1"/>
        <v>10.4</v>
      </c>
      <c r="E60" vm="189">
        <f ca="1"/>
        <v>9.82</v>
      </c>
      <c r="F60" vm="274">
        <f ca="1"/>
        <v>229032469</v>
      </c>
      <c r="G60" s="1">
        <f t="shared" ca="1" si="2"/>
        <v>10.131428571428572</v>
      </c>
      <c r="H60" s="1">
        <f t="shared" ca="1" si="12"/>
        <v>9.8255000000000017</v>
      </c>
      <c r="I60" s="1">
        <f t="shared" ca="1" si="11"/>
        <v>9.6953839999999989</v>
      </c>
      <c r="J60">
        <f t="shared" ca="1" si="0"/>
        <v>0.58000000000000007</v>
      </c>
      <c r="K60" s="1">
        <f t="shared" ca="1" si="5"/>
        <v>0.32224999999999981</v>
      </c>
      <c r="L60" s="2">
        <f t="shared" ca="1" si="1"/>
        <v>4.2401524643846278E-2</v>
      </c>
      <c r="M60">
        <f t="shared" ca="1" si="3"/>
        <v>2.5296850809698717E-2</v>
      </c>
      <c r="N60">
        <f t="shared" ca="1" si="6"/>
        <v>143683978.59999999</v>
      </c>
      <c r="O60">
        <f t="shared" ca="1" si="7"/>
        <v>9.8255000000000017</v>
      </c>
      <c r="P60">
        <f t="shared" ca="1" si="8"/>
        <v>0.31361181167336899</v>
      </c>
      <c r="Q60">
        <f t="shared" ca="1" si="9"/>
        <v>10.45272362334674</v>
      </c>
      <c r="R60">
        <f t="shared" ca="1" si="10"/>
        <v>9.1982763766532631</v>
      </c>
    </row>
    <row r="61" spans="1:18" x14ac:dyDescent="0.25">
      <c r="A61" vm="275">
        <f ca="1"/>
        <v>45744</v>
      </c>
      <c r="B61" vm="204">
        <f ca="1"/>
        <v>9.7200000000000006</v>
      </c>
      <c r="C61" vm="276">
        <f ca="1"/>
        <v>9.84</v>
      </c>
      <c r="D61" vm="277">
        <f ca="1"/>
        <v>9.89</v>
      </c>
      <c r="E61" vm="176">
        <f ca="1"/>
        <v>9.6199999999999992</v>
      </c>
      <c r="F61" vm="278">
        <f ca="1"/>
        <v>136868327</v>
      </c>
      <c r="G61" s="1">
        <f t="shared" ca="1" si="2"/>
        <v>10.067142857142857</v>
      </c>
      <c r="H61" s="1">
        <f t="shared" ca="1" si="12"/>
        <v>9.8339999999999996</v>
      </c>
      <c r="I61" s="1">
        <f t="shared" ca="1" si="11"/>
        <v>9.6939320000000002</v>
      </c>
      <c r="J61">
        <f t="shared" ca="1" si="0"/>
        <v>0.27000000000000135</v>
      </c>
      <c r="K61" s="1">
        <f t="shared" ca="1" si="5"/>
        <v>0.31674999999999998</v>
      </c>
      <c r="L61" s="2">
        <f t="shared" ca="1" si="1"/>
        <v>2.3448769650321832E-2</v>
      </c>
      <c r="M61">
        <f t="shared" ca="1" si="3"/>
        <v>2.604253222630647E-2</v>
      </c>
      <c r="N61">
        <f t="shared" ca="1" si="6"/>
        <v>143627766.25</v>
      </c>
      <c r="O61">
        <f t="shared" ca="1" si="7"/>
        <v>9.8339999999999996</v>
      </c>
      <c r="P61">
        <f t="shared" ca="1" si="8"/>
        <v>0.30800546816745428</v>
      </c>
      <c r="Q61">
        <f t="shared" ca="1" si="9"/>
        <v>10.450010936334909</v>
      </c>
      <c r="R61">
        <f t="shared" ca="1" si="10"/>
        <v>9.2179890636650903</v>
      </c>
    </row>
    <row r="62" spans="1:18" x14ac:dyDescent="0.25">
      <c r="A62" vm="279">
        <f ca="1"/>
        <v>45747</v>
      </c>
      <c r="B62" vm="280">
        <f ca="1"/>
        <v>10.029999999999999</v>
      </c>
      <c r="C62" vm="281">
        <f ca="1"/>
        <v>9.5749999999999993</v>
      </c>
      <c r="D62" vm="282">
        <f ca="1"/>
        <v>10.11</v>
      </c>
      <c r="E62" vm="283">
        <f ca="1"/>
        <v>9.5449999999999999</v>
      </c>
      <c r="F62" vm="284">
        <f ca="1"/>
        <v>139951868</v>
      </c>
      <c r="G62" s="1">
        <f t="shared" ca="1" si="2"/>
        <v>10.069999999999999</v>
      </c>
      <c r="H62" s="1">
        <f t="shared" ca="1" si="12"/>
        <v>9.8660000000000014</v>
      </c>
      <c r="I62" s="1">
        <f t="shared" ca="1" si="11"/>
        <v>9.697499999999998</v>
      </c>
      <c r="J62">
        <f t="shared" ca="1" si="0"/>
        <v>0.5649999999999995</v>
      </c>
      <c r="K62" s="1">
        <f t="shared" ca="1" si="5"/>
        <v>0.31999999999999995</v>
      </c>
      <c r="L62" s="2">
        <f t="shared" ca="1" si="1"/>
        <v>5.6089625472502735E-2</v>
      </c>
      <c r="M62">
        <f t="shared" ca="1" si="3"/>
        <v>2.5156036357212835E-2</v>
      </c>
      <c r="N62">
        <f t="shared" ca="1" si="6"/>
        <v>142903564.40000001</v>
      </c>
      <c r="O62">
        <f t="shared" ca="1" si="7"/>
        <v>9.8660000000000014</v>
      </c>
      <c r="P62">
        <f t="shared" ca="1" si="8"/>
        <v>0.29229401203870786</v>
      </c>
      <c r="Q62">
        <f t="shared" ca="1" si="9"/>
        <v>10.450588024077417</v>
      </c>
      <c r="R62">
        <f t="shared" ca="1" si="10"/>
        <v>9.2814119759225857</v>
      </c>
    </row>
    <row r="63" spans="1:18" x14ac:dyDescent="0.25">
      <c r="A63" vm="285">
        <f ca="1"/>
        <v>45748</v>
      </c>
      <c r="B63" vm="286">
        <f ca="1"/>
        <v>9.94</v>
      </c>
      <c r="C63" vm="287">
        <f ca="1"/>
        <v>10.1</v>
      </c>
      <c r="D63" vm="243">
        <f ca="1"/>
        <v>10.17</v>
      </c>
      <c r="E63" vm="288">
        <f ca="1"/>
        <v>9.81</v>
      </c>
      <c r="F63" vm="289">
        <f ca="1"/>
        <v>135388684</v>
      </c>
      <c r="G63" s="1">
        <f t="shared" ca="1" si="2"/>
        <v>10.061428571428573</v>
      </c>
      <c r="H63" s="1">
        <f t="shared" ca="1" si="12"/>
        <v>9.907</v>
      </c>
      <c r="I63" s="1">
        <f t="shared" ca="1" si="11"/>
        <v>9.6959199999999992</v>
      </c>
      <c r="J63">
        <f t="shared" ca="1" si="0"/>
        <v>0.35999999999999943</v>
      </c>
      <c r="K63" s="1">
        <f t="shared" ca="1" si="5"/>
        <v>0.32749999999999996</v>
      </c>
      <c r="L63" s="2">
        <f t="shared" ca="1" si="1"/>
        <v>4.6613247975740402E-2</v>
      </c>
      <c r="M63">
        <f t="shared" ca="1" si="3"/>
        <v>2.2798730222184906E-2</v>
      </c>
      <c r="N63">
        <f t="shared" ca="1" si="6"/>
        <v>141298000.90000001</v>
      </c>
      <c r="O63">
        <f t="shared" ca="1" si="7"/>
        <v>9.907</v>
      </c>
      <c r="P63">
        <f t="shared" ca="1" si="8"/>
        <v>0.23380378638147797</v>
      </c>
      <c r="Q63">
        <f t="shared" ca="1" si="9"/>
        <v>10.374607572762956</v>
      </c>
      <c r="R63">
        <f t="shared" ca="1" si="10"/>
        <v>9.4393924272370437</v>
      </c>
    </row>
    <row r="64" spans="1:18" x14ac:dyDescent="0.25">
      <c r="A64" vm="290">
        <f ca="1"/>
        <v>45749</v>
      </c>
      <c r="B64" vm="250">
        <f ca="1"/>
        <v>10.15</v>
      </c>
      <c r="C64" vm="291">
        <f ca="1"/>
        <v>9.8350000000000009</v>
      </c>
      <c r="D64" vm="268">
        <f ca="1"/>
        <v>10.27</v>
      </c>
      <c r="E64" vm="189">
        <f ca="1"/>
        <v>9.82</v>
      </c>
      <c r="F64" vm="292">
        <f ca="1"/>
        <v>136908485</v>
      </c>
      <c r="G64" s="1">
        <f t="shared" ca="1" si="2"/>
        <v>10.047142857142857</v>
      </c>
      <c r="H64" s="1">
        <f t="shared" ca="1" si="12"/>
        <v>9.9320000000000004</v>
      </c>
      <c r="I64" s="1">
        <f t="shared" ca="1" si="11"/>
        <v>9.6936199999999992</v>
      </c>
      <c r="J64">
        <f t="shared" ca="1" si="0"/>
        <v>0.44999999999999929</v>
      </c>
      <c r="K64" s="1">
        <f t="shared" ca="1" si="5"/>
        <v>0.3264999999999999</v>
      </c>
      <c r="L64" s="2">
        <f t="shared" ca="1" si="1"/>
        <v>6.8724795468185773E-2</v>
      </c>
      <c r="M64">
        <f t="shared" ca="1" si="3"/>
        <v>1.8951561156794108E-2</v>
      </c>
      <c r="N64">
        <f t="shared" ca="1" si="6"/>
        <v>140254679.94999999</v>
      </c>
      <c r="O64">
        <f t="shared" ca="1" si="7"/>
        <v>9.9320000000000004</v>
      </c>
      <c r="P64">
        <f t="shared" ca="1" si="8"/>
        <v>0.23159856376247703</v>
      </c>
      <c r="Q64">
        <f t="shared" ca="1" si="9"/>
        <v>10.395197127524954</v>
      </c>
      <c r="R64">
        <f t="shared" ca="1" si="10"/>
        <v>9.468802872475047</v>
      </c>
    </row>
    <row r="65" spans="1:18" x14ac:dyDescent="0.25">
      <c r="A65" vm="293">
        <f ca="1"/>
        <v>45750</v>
      </c>
      <c r="B65" vm="208">
        <f ca="1"/>
        <v>9.5399999999999991</v>
      </c>
      <c r="C65" vm="294">
        <f ca="1"/>
        <v>9.9949999999999992</v>
      </c>
      <c r="D65" vm="295">
        <f ca="1"/>
        <v>10.199999999999999</v>
      </c>
      <c r="E65" vm="180">
        <f ca="1"/>
        <v>9.5299999999999994</v>
      </c>
      <c r="F65" vm="296">
        <f ca="1"/>
        <v>220270980</v>
      </c>
      <c r="G65" s="1">
        <f t="shared" ca="1" si="2"/>
        <v>9.94</v>
      </c>
      <c r="H65" s="1">
        <f t="shared" ca="1" si="12"/>
        <v>9.9285000000000014</v>
      </c>
      <c r="I65" s="1">
        <f t="shared" ca="1" si="11"/>
        <v>9.6869940000000003</v>
      </c>
      <c r="J65">
        <f t="shared" ca="1" si="0"/>
        <v>0.66999999999999993</v>
      </c>
      <c r="K65" s="1">
        <f t="shared" ca="1" si="5"/>
        <v>0.34499999999999986</v>
      </c>
      <c r="L65" s="2">
        <f t="shared" ca="1" si="1"/>
        <v>4.4960146567971648E-3</v>
      </c>
      <c r="M65">
        <f t="shared" ca="1" si="3"/>
        <v>2.1787486587680482E-2</v>
      </c>
      <c r="N65">
        <f t="shared" ca="1" si="6"/>
        <v>144434191.65000001</v>
      </c>
      <c r="O65">
        <f t="shared" ca="1" si="7"/>
        <v>9.9285000000000014</v>
      </c>
      <c r="P65">
        <f t="shared" ca="1" si="8"/>
        <v>0.23718247472313278</v>
      </c>
      <c r="Q65">
        <f t="shared" ca="1" si="9"/>
        <v>10.402864949446267</v>
      </c>
      <c r="R65">
        <f t="shared" ca="1" si="10"/>
        <v>9.4541350505537363</v>
      </c>
    </row>
    <row r="66" spans="1:18" x14ac:dyDescent="0.25">
      <c r="A66" vm="297">
        <f ca="1"/>
        <v>45751</v>
      </c>
      <c r="B66" vm="298">
        <f ca="1"/>
        <v>9.58</v>
      </c>
      <c r="C66" vm="184">
        <f ca="1"/>
        <v>9.3149999999999995</v>
      </c>
      <c r="D66" vm="229">
        <f ca="1"/>
        <v>9.73</v>
      </c>
      <c r="E66" vm="199">
        <f ca="1"/>
        <v>9.1999999999999993</v>
      </c>
      <c r="F66" vm="299">
        <f ca="1"/>
        <v>177466228</v>
      </c>
      <c r="G66" s="1">
        <f t="shared" ca="1" si="2"/>
        <v>9.8371428571428563</v>
      </c>
      <c r="H66" s="1">
        <f t="shared" ca="1" si="12"/>
        <v>9.9125000000000014</v>
      </c>
      <c r="I66" s="1">
        <f t="shared" ca="1" si="11"/>
        <v>9.6786079999999988</v>
      </c>
      <c r="J66">
        <f t="shared" ca="1" si="0"/>
        <v>0.53000000000000114</v>
      </c>
      <c r="K66" s="1">
        <f t="shared" ca="1" si="5"/>
        <v>0.34899999999999987</v>
      </c>
      <c r="L66" s="2">
        <f t="shared" ca="1" si="1"/>
        <v>8.7077379886915107E-3</v>
      </c>
      <c r="M66">
        <f t="shared" ca="1" si="3"/>
        <v>2.4684367062202912E-2</v>
      </c>
      <c r="N66">
        <f t="shared" ca="1" si="6"/>
        <v>145775258.84999999</v>
      </c>
      <c r="O66">
        <f t="shared" ca="1" si="7"/>
        <v>9.9125000000000014</v>
      </c>
      <c r="P66">
        <f t="shared" ca="1" si="8"/>
        <v>0.24967083593361383</v>
      </c>
      <c r="Q66">
        <f t="shared" ca="1" si="9"/>
        <v>10.411841671867229</v>
      </c>
      <c r="R66">
        <f t="shared" ca="1" si="10"/>
        <v>9.4131583281327735</v>
      </c>
    </row>
    <row r="67" spans="1:18" x14ac:dyDescent="0.25">
      <c r="A67" vm="300">
        <f ca="1"/>
        <v>45754</v>
      </c>
      <c r="B67" vm="301">
        <f ca="1"/>
        <v>9.24</v>
      </c>
      <c r="C67" vm="151">
        <f ca="1"/>
        <v>9.27</v>
      </c>
      <c r="D67" vm="232">
        <f ca="1"/>
        <v>9.64</v>
      </c>
      <c r="E67" vm="302">
        <f ca="1"/>
        <v>9</v>
      </c>
      <c r="F67" vm="303">
        <f ca="1"/>
        <v>274938497</v>
      </c>
      <c r="G67" s="1">
        <f t="shared" ca="1" si="2"/>
        <v>9.742857142857142</v>
      </c>
      <c r="H67" s="1">
        <f t="shared" ca="1" si="12"/>
        <v>9.8765000000000018</v>
      </c>
      <c r="I67" s="1">
        <f t="shared" ca="1" si="11"/>
        <v>9.6642099999999989</v>
      </c>
      <c r="J67">
        <f t="shared" ref="J67:J130" ca="1" si="13">D67-E67</f>
        <v>0.64000000000000057</v>
      </c>
      <c r="K67" s="1">
        <f t="shared" ca="1" si="5"/>
        <v>0.36249999999999982</v>
      </c>
      <c r="L67" s="2">
        <f t="shared" ref="L67:L130" ca="1" si="14">(B67/$B$3)-1</f>
        <v>-2.7091910332410207E-2</v>
      </c>
      <c r="M67">
        <f t="shared" ca="1" si="3"/>
        <v>3.1977683419592388E-2</v>
      </c>
      <c r="N67">
        <f t="shared" ca="1" si="6"/>
        <v>151162993.25</v>
      </c>
      <c r="O67">
        <f t="shared" ca="1" si="7"/>
        <v>9.8765000000000018</v>
      </c>
      <c r="P67">
        <f t="shared" ca="1" si="8"/>
        <v>0.29095622749099131</v>
      </c>
      <c r="Q67">
        <f t="shared" ca="1" si="9"/>
        <v>10.458412454981984</v>
      </c>
      <c r="R67">
        <f t="shared" ca="1" si="10"/>
        <v>9.29458754501802</v>
      </c>
    </row>
    <row r="68" spans="1:18" x14ac:dyDescent="0.25">
      <c r="A68" vm="304">
        <f ca="1"/>
        <v>45755</v>
      </c>
      <c r="B68" vm="305">
        <f ca="1"/>
        <v>8.69</v>
      </c>
      <c r="C68" vm="306">
        <f ca="1"/>
        <v>9.52</v>
      </c>
      <c r="D68" vm="306">
        <f ca="1"/>
        <v>9.52</v>
      </c>
      <c r="E68" vm="307">
        <f ca="1"/>
        <v>8.5500000000000007</v>
      </c>
      <c r="F68" vm="308">
        <f ca="1"/>
        <v>199286778</v>
      </c>
      <c r="G68" s="1">
        <f t="shared" ca="1" si="2"/>
        <v>9.5957142857142852</v>
      </c>
      <c r="H68" s="1">
        <f t="shared" ca="1" si="12"/>
        <v>9.8265000000000011</v>
      </c>
      <c r="I68" s="1">
        <f t="shared" ca="1" si="11"/>
        <v>9.6336939999999984</v>
      </c>
      <c r="J68">
        <f t="shared" ca="1" si="13"/>
        <v>0.96999999999999886</v>
      </c>
      <c r="K68" s="1">
        <f t="shared" ca="1" si="5"/>
        <v>0.38749999999999973</v>
      </c>
      <c r="L68" s="2">
        <f t="shared" ca="1" si="14"/>
        <v>-8.5003106145957297E-2</v>
      </c>
      <c r="M68">
        <f t="shared" ca="1" si="3"/>
        <v>4.5688423710250253E-2</v>
      </c>
      <c r="N68">
        <f t="shared" ca="1" si="6"/>
        <v>150620983.44999999</v>
      </c>
      <c r="O68">
        <f t="shared" ca="1" si="7"/>
        <v>9.8265000000000011</v>
      </c>
      <c r="P68">
        <f t="shared" ca="1" si="8"/>
        <v>0.39279397304841368</v>
      </c>
      <c r="Q68">
        <f t="shared" ca="1" si="9"/>
        <v>10.612087946096828</v>
      </c>
      <c r="R68">
        <f t="shared" ca="1" si="10"/>
        <v>9.040912053903174</v>
      </c>
    </row>
    <row r="69" spans="1:18" x14ac:dyDescent="0.25">
      <c r="A69" vm="309">
        <f ca="1"/>
        <v>45756</v>
      </c>
      <c r="B69" vm="226">
        <f ca="1"/>
        <v>9.5</v>
      </c>
      <c r="C69" vm="310">
        <f ca="1"/>
        <v>8.5</v>
      </c>
      <c r="D69" vm="208">
        <f ca="1"/>
        <v>9.5399999999999991</v>
      </c>
      <c r="E69" vm="311">
        <f ca="1"/>
        <v>8.4405999999999999</v>
      </c>
      <c r="F69" vm="312">
        <f ca="1"/>
        <v>199662988</v>
      </c>
      <c r="G69" s="1">
        <f t="shared" ca="1" si="2"/>
        <v>9.52</v>
      </c>
      <c r="H69" s="1">
        <f t="shared" ca="1" si="12"/>
        <v>9.8219999999999992</v>
      </c>
      <c r="I69" s="1">
        <f t="shared" ca="1" si="11"/>
        <v>9.6252840000000006</v>
      </c>
      <c r="J69">
        <f t="shared" ca="1" si="13"/>
        <v>1.0993999999999993</v>
      </c>
      <c r="K69" s="1">
        <f t="shared" ca="1" si="5"/>
        <v>0.42996999999999969</v>
      </c>
      <c r="L69" s="2">
        <f t="shared" ca="1" si="14"/>
        <v>2.8429132490304099E-4</v>
      </c>
      <c r="M69">
        <f t="shared" ca="1" si="3"/>
        <v>4.6200152526378706E-2</v>
      </c>
      <c r="N69">
        <f t="shared" ca="1" si="6"/>
        <v>154104403.25</v>
      </c>
      <c r="O69">
        <f t="shared" ca="1" si="7"/>
        <v>9.8219999999999992</v>
      </c>
      <c r="P69">
        <f t="shared" ca="1" si="8"/>
        <v>0.39614723472333796</v>
      </c>
      <c r="Q69">
        <f t="shared" ca="1" si="9"/>
        <v>10.614294469446675</v>
      </c>
      <c r="R69">
        <f t="shared" ca="1" si="10"/>
        <v>9.0297055305533238</v>
      </c>
    </row>
    <row r="70" spans="1:18" x14ac:dyDescent="0.25">
      <c r="A70" vm="313">
        <f ca="1"/>
        <v>45757</v>
      </c>
      <c r="B70" vm="314">
        <f ca="1"/>
        <v>9.14</v>
      </c>
      <c r="C70" vm="315">
        <f ca="1"/>
        <v>9.1</v>
      </c>
      <c r="D70" vm="157">
        <f ca="1"/>
        <v>9.2799999999999994</v>
      </c>
      <c r="E70" vm="316">
        <f ca="1"/>
        <v>8.8800000000000008</v>
      </c>
      <c r="F70" vm="317">
        <f ca="1"/>
        <v>163535434</v>
      </c>
      <c r="G70" s="1">
        <f t="shared" ca="1" si="2"/>
        <v>9.4057142857142857</v>
      </c>
      <c r="H70" s="1">
        <f t="shared" ca="1" si="12"/>
        <v>9.8025000000000002</v>
      </c>
      <c r="I70" s="1">
        <f t="shared" ca="1" si="11"/>
        <v>9.6071139999999993</v>
      </c>
      <c r="J70">
        <f t="shared" ca="1" si="13"/>
        <v>0.39999999999999858</v>
      </c>
      <c r="K70" s="1">
        <f t="shared" ca="1" si="5"/>
        <v>0.42746999999999968</v>
      </c>
      <c r="L70" s="2">
        <f t="shared" ca="1" si="14"/>
        <v>-3.7621218662145961E-2</v>
      </c>
      <c r="M70">
        <f t="shared" ca="1" si="3"/>
        <v>4.8980457784217765E-2</v>
      </c>
      <c r="N70">
        <f t="shared" ca="1" si="6"/>
        <v>155393793.34999999</v>
      </c>
      <c r="O70">
        <f t="shared" ca="1" si="7"/>
        <v>9.8025000000000002</v>
      </c>
      <c r="P70">
        <f t="shared" ca="1" si="8"/>
        <v>0.42014878317091436</v>
      </c>
      <c r="Q70">
        <f t="shared" ca="1" si="9"/>
        <v>10.642797566341828</v>
      </c>
      <c r="R70">
        <f t="shared" ca="1" si="10"/>
        <v>8.962202433658172</v>
      </c>
    </row>
    <row r="71" spans="1:18" x14ac:dyDescent="0.25">
      <c r="A71" vm="318">
        <f ca="1"/>
        <v>45758</v>
      </c>
      <c r="B71" vm="138">
        <f ca="1"/>
        <v>9.33</v>
      </c>
      <c r="C71" vm="319">
        <f ca="1"/>
        <v>9.11</v>
      </c>
      <c r="D71" vm="146">
        <f ca="1"/>
        <v>9.35</v>
      </c>
      <c r="E71" vm="320">
        <f ca="1"/>
        <v>9.0399999999999991</v>
      </c>
      <c r="F71" vm="321">
        <f ca="1"/>
        <v>146073701</v>
      </c>
      <c r="G71" s="1">
        <f t="shared" ca="1" si="2"/>
        <v>9.2885714285714283</v>
      </c>
      <c r="H71" s="1">
        <f t="shared" ca="1" si="12"/>
        <v>9.7825000000000006</v>
      </c>
      <c r="I71" s="1">
        <f t="shared" ca="1" si="11"/>
        <v>9.5937279999999987</v>
      </c>
      <c r="J71">
        <f t="shared" ca="1" si="13"/>
        <v>0.3100000000000005</v>
      </c>
      <c r="K71" s="1">
        <f t="shared" ca="1" si="5"/>
        <v>0.43546999999999975</v>
      </c>
      <c r="L71" s="2">
        <f t="shared" ca="1" si="14"/>
        <v>-1.7615532835647985E-2</v>
      </c>
      <c r="M71">
        <f t="shared" ca="1" si="3"/>
        <v>4.7633884953719133E-2</v>
      </c>
      <c r="N71">
        <f t="shared" ca="1" si="6"/>
        <v>158131790.44999999</v>
      </c>
      <c r="O71">
        <f t="shared" ca="1" si="7"/>
        <v>9.7825000000000006</v>
      </c>
      <c r="P71">
        <f t="shared" ca="1" si="8"/>
        <v>0.43310233384149222</v>
      </c>
      <c r="Q71">
        <f t="shared" ca="1" si="9"/>
        <v>10.648704667682985</v>
      </c>
      <c r="R71">
        <f t="shared" ca="1" si="10"/>
        <v>8.9162953323170164</v>
      </c>
    </row>
    <row r="72" spans="1:18" x14ac:dyDescent="0.25">
      <c r="A72" vm="322">
        <f ca="1"/>
        <v>45761</v>
      </c>
      <c r="B72" vm="188">
        <f ca="1"/>
        <v>9.7100000000000009</v>
      </c>
      <c r="C72" vm="160">
        <f ca="1"/>
        <v>9.3800000000000008</v>
      </c>
      <c r="D72" vm="288">
        <f ca="1"/>
        <v>9.81</v>
      </c>
      <c r="E72" vm="199">
        <f ca="1"/>
        <v>9.1999999999999993</v>
      </c>
      <c r="F72" vm="323">
        <f ca="1"/>
        <v>189955001</v>
      </c>
      <c r="G72" s="1">
        <f t="shared" ca="1" si="2"/>
        <v>9.3128571428571423</v>
      </c>
      <c r="H72" s="1">
        <f t="shared" ca="1" si="12"/>
        <v>9.772000000000002</v>
      </c>
      <c r="I72" s="1">
        <f t="shared" ca="1" si="11"/>
        <v>9.589518</v>
      </c>
      <c r="J72">
        <f t="shared" ca="1" si="13"/>
        <v>0.61000000000000121</v>
      </c>
      <c r="K72" s="1">
        <f t="shared" ca="1" si="5"/>
        <v>0.45396999999999982</v>
      </c>
      <c r="L72" s="2">
        <f t="shared" ca="1" si="14"/>
        <v>2.239583881734819E-2</v>
      </c>
      <c r="M72">
        <f t="shared" ca="1" si="3"/>
        <v>4.4100453928556181E-2</v>
      </c>
      <c r="N72">
        <f t="shared" ca="1" si="6"/>
        <v>162700387.09999999</v>
      </c>
      <c r="O72">
        <f t="shared" ca="1" si="7"/>
        <v>9.772000000000002</v>
      </c>
      <c r="P72">
        <f t="shared" ca="1" si="8"/>
        <v>0.43213789222276822</v>
      </c>
      <c r="Q72">
        <f t="shared" ca="1" si="9"/>
        <v>10.636275784445539</v>
      </c>
      <c r="R72">
        <f t="shared" ca="1" si="10"/>
        <v>8.9077242155544649</v>
      </c>
    </row>
    <row r="73" spans="1:18" x14ac:dyDescent="0.25">
      <c r="A73" vm="324">
        <f ca="1"/>
        <v>45762</v>
      </c>
      <c r="B73" vm="325">
        <f ca="1"/>
        <v>9.4499999999999993</v>
      </c>
      <c r="C73" vm="326">
        <f ca="1"/>
        <v>9.6150000000000002</v>
      </c>
      <c r="D73" vm="327">
        <f ca="1"/>
        <v>9.6300000000000008</v>
      </c>
      <c r="E73" vm="160">
        <f ca="1"/>
        <v>9.3800000000000008</v>
      </c>
      <c r="F73" vm="328">
        <f ca="1"/>
        <v>125469023</v>
      </c>
      <c r="G73" s="1">
        <f t="shared" ref="G73:G136" ca="1" si="15">AVERAGE(B67:B73)</f>
        <v>9.2942857142857154</v>
      </c>
      <c r="H73" s="1">
        <f t="shared" ca="1" si="12"/>
        <v>9.7470000000000034</v>
      </c>
      <c r="I73" s="1">
        <f t="shared" ca="1" si="11"/>
        <v>9.5838479999999997</v>
      </c>
      <c r="J73">
        <f t="shared" ca="1" si="13"/>
        <v>0.25</v>
      </c>
      <c r="K73" s="1">
        <f t="shared" ca="1" si="5"/>
        <v>0.45846999999999988</v>
      </c>
      <c r="L73" s="2">
        <f t="shared" ca="1" si="14"/>
        <v>-4.9803628399650579E-3</v>
      </c>
      <c r="M73">
        <f t="shared" ca="1" si="3"/>
        <v>3.9614983214253316E-2</v>
      </c>
      <c r="N73">
        <f t="shared" ca="1" si="6"/>
        <v>163837291.75</v>
      </c>
      <c r="O73">
        <f t="shared" ca="1" si="7"/>
        <v>9.7470000000000034</v>
      </c>
      <c r="P73">
        <f t="shared" ca="1" si="8"/>
        <v>0.43574618396734732</v>
      </c>
      <c r="Q73">
        <f t="shared" ca="1" si="9"/>
        <v>10.618492367934698</v>
      </c>
      <c r="R73">
        <f t="shared" ca="1" si="10"/>
        <v>8.8755076320653092</v>
      </c>
    </row>
    <row r="74" spans="1:18" x14ac:dyDescent="0.25">
      <c r="A74" vm="329">
        <f ca="1"/>
        <v>45763</v>
      </c>
      <c r="B74" vm="165">
        <f ca="1"/>
        <v>9.4</v>
      </c>
      <c r="C74" vm="174">
        <f ca="1"/>
        <v>9.4700000000000006</v>
      </c>
      <c r="D74" vm="176">
        <f ca="1"/>
        <v>9.6199999999999992</v>
      </c>
      <c r="E74" vm="144">
        <f ca="1"/>
        <v>9.2899999999999991</v>
      </c>
      <c r="F74" vm="330">
        <f ca="1"/>
        <v>133804943</v>
      </c>
      <c r="G74" s="1">
        <f t="shared" ca="1" si="15"/>
        <v>9.3171428571428567</v>
      </c>
      <c r="H74" s="1">
        <f t="shared" ca="1" si="12"/>
        <v>9.708499999999999</v>
      </c>
      <c r="I74" s="1">
        <f t="shared" ca="1" si="11"/>
        <v>9.5718619999999976</v>
      </c>
      <c r="J74">
        <f t="shared" ca="1" si="13"/>
        <v>0.33000000000000007</v>
      </c>
      <c r="K74" s="1">
        <f t="shared" ca="1" si="5"/>
        <v>0.45821999999999996</v>
      </c>
      <c r="L74" s="2">
        <f t="shared" ca="1" si="14"/>
        <v>-1.0245017004832824E-2</v>
      </c>
      <c r="M74">
        <f t="shared" ca="1" si="3"/>
        <v>3.8580561464052067E-2</v>
      </c>
      <c r="N74">
        <f t="shared" ca="1" si="6"/>
        <v>164292669.94999999</v>
      </c>
      <c r="O74">
        <f t="shared" ca="1" si="7"/>
        <v>9.708499999999999</v>
      </c>
      <c r="P74">
        <f t="shared" ca="1" si="8"/>
        <v>0.43038874716262104</v>
      </c>
      <c r="Q74">
        <f t="shared" ca="1" si="9"/>
        <v>10.569277494325242</v>
      </c>
      <c r="R74">
        <f t="shared" ca="1" si="10"/>
        <v>8.8477225056747564</v>
      </c>
    </row>
    <row r="75" spans="1:18" x14ac:dyDescent="0.25">
      <c r="A75" vm="331">
        <f ca="1"/>
        <v>45764</v>
      </c>
      <c r="B75" vm="327">
        <f ca="1"/>
        <v>9.6300000000000008</v>
      </c>
      <c r="C75" vm="161">
        <f ca="1"/>
        <v>9.41</v>
      </c>
      <c r="D75" vm="185">
        <f ca="1"/>
        <v>9.69</v>
      </c>
      <c r="E75" vm="332">
        <f ca="1"/>
        <v>9.4049999999999994</v>
      </c>
      <c r="F75" vm="333">
        <f ca="1"/>
        <v>129204565</v>
      </c>
      <c r="G75" s="1">
        <f t="shared" ca="1" si="15"/>
        <v>9.4514285714285702</v>
      </c>
      <c r="H75" s="1">
        <f t="shared" ca="1" si="12"/>
        <v>9.6894999999999989</v>
      </c>
      <c r="I75" s="1">
        <f t="shared" ca="1" si="11"/>
        <v>9.5674299999999981</v>
      </c>
      <c r="J75">
        <f t="shared" ca="1" si="13"/>
        <v>0.28500000000000014</v>
      </c>
      <c r="K75" s="1">
        <f t="shared" ca="1" si="5"/>
        <v>0.46446999999999994</v>
      </c>
      <c r="L75" s="2">
        <f t="shared" ca="1" si="14"/>
        <v>1.3972392153559499E-2</v>
      </c>
      <c r="M75">
        <f t="shared" ca="1" si="3"/>
        <v>3.8305781528880423E-2</v>
      </c>
      <c r="N75">
        <f t="shared" ca="1" si="6"/>
        <v>165297711.55000001</v>
      </c>
      <c r="O75">
        <f t="shared" ca="1" si="7"/>
        <v>9.6894999999999989</v>
      </c>
      <c r="P75">
        <f t="shared" ca="1" si="8"/>
        <v>0.4247287059809009</v>
      </c>
      <c r="Q75">
        <f t="shared" ca="1" si="9"/>
        <v>10.538957411961801</v>
      </c>
      <c r="R75">
        <f t="shared" ca="1" si="10"/>
        <v>8.8400425880381963</v>
      </c>
    </row>
    <row r="76" spans="1:18" x14ac:dyDescent="0.25">
      <c r="A76" vm="334">
        <f ca="1"/>
        <v>45768</v>
      </c>
      <c r="B76" vm="174">
        <f ca="1"/>
        <v>9.4700000000000006</v>
      </c>
      <c r="C76" vm="298">
        <f ca="1"/>
        <v>9.58</v>
      </c>
      <c r="D76" vm="327">
        <f ca="1"/>
        <v>9.6300000000000008</v>
      </c>
      <c r="E76" vm="146">
        <f ca="1"/>
        <v>9.35</v>
      </c>
      <c r="F76" vm="335">
        <f ca="1"/>
        <v>94138882</v>
      </c>
      <c r="G76" s="1">
        <f t="shared" ca="1" si="15"/>
        <v>9.4471428571428557</v>
      </c>
      <c r="H76" s="1">
        <f t="shared" ca="1" si="12"/>
        <v>9.6630000000000003</v>
      </c>
      <c r="I76" s="1">
        <f t="shared" ca="1" si="11"/>
        <v>9.5745599999999982</v>
      </c>
      <c r="J76">
        <f t="shared" ca="1" si="13"/>
        <v>0.28000000000000114</v>
      </c>
      <c r="K76" s="1">
        <f t="shared" ca="1" si="5"/>
        <v>0.46397000000000005</v>
      </c>
      <c r="L76" s="2">
        <f t="shared" ca="1" si="14"/>
        <v>-2.8745011740177739E-3</v>
      </c>
      <c r="M76">
        <f t="shared" ca="1" si="3"/>
        <v>3.5337909393073949E-2</v>
      </c>
      <c r="N76">
        <f t="shared" ca="1" si="6"/>
        <v>157972724.09999999</v>
      </c>
      <c r="O76">
        <f t="shared" ca="1" si="7"/>
        <v>9.6630000000000003</v>
      </c>
      <c r="P76">
        <f t="shared" ca="1" si="8"/>
        <v>0.42085251823562037</v>
      </c>
      <c r="Q76">
        <f t="shared" ca="1" si="9"/>
        <v>10.504705036471242</v>
      </c>
      <c r="R76">
        <f t="shared" ca="1" si="10"/>
        <v>8.821294963528759</v>
      </c>
    </row>
    <row r="77" spans="1:18" x14ac:dyDescent="0.25">
      <c r="A77" vm="336">
        <f ca="1"/>
        <v>45769</v>
      </c>
      <c r="B77" vm="196">
        <f ca="1"/>
        <v>9.65</v>
      </c>
      <c r="C77" vm="183">
        <f ca="1"/>
        <v>9.5500000000000007</v>
      </c>
      <c r="D77" vm="204">
        <f ca="1"/>
        <v>9.7200000000000006</v>
      </c>
      <c r="E77" vm="180">
        <f ca="1"/>
        <v>9.5299999999999994</v>
      </c>
      <c r="F77" vm="337">
        <f ca="1"/>
        <v>121387081</v>
      </c>
      <c r="G77" s="1">
        <f t="shared" ca="1" si="15"/>
        <v>9.52</v>
      </c>
      <c r="H77" s="1">
        <f t="shared" ca="1" si="12"/>
        <v>9.6329999999999991</v>
      </c>
      <c r="I77" s="1">
        <f t="shared" ca="1" si="11"/>
        <v>9.585683999999997</v>
      </c>
      <c r="J77">
        <f t="shared" ca="1" si="13"/>
        <v>0.19000000000000128</v>
      </c>
      <c r="K77" s="1">
        <f t="shared" ca="1" si="5"/>
        <v>0.4614700000000001</v>
      </c>
      <c r="L77" s="2">
        <f t="shared" ca="1" si="14"/>
        <v>1.6078253819506783E-2</v>
      </c>
      <c r="M77">
        <f t="shared" ca="1" si="3"/>
        <v>3.3180876615914547E-2</v>
      </c>
      <c r="N77">
        <f t="shared" ca="1" si="6"/>
        <v>158899718.59999999</v>
      </c>
      <c r="O77">
        <f t="shared" ca="1" si="7"/>
        <v>9.6329999999999991</v>
      </c>
      <c r="P77">
        <f t="shared" ca="1" si="8"/>
        <v>0.39754642231409509</v>
      </c>
      <c r="Q77">
        <f t="shared" ca="1" si="9"/>
        <v>10.428092844628189</v>
      </c>
      <c r="R77">
        <f t="shared" ca="1" si="10"/>
        <v>8.8379071553718092</v>
      </c>
    </row>
    <row r="78" spans="1:18" x14ac:dyDescent="0.25">
      <c r="A78" vm="338">
        <f ca="1"/>
        <v>45770</v>
      </c>
      <c r="B78" vm="339">
        <f ca="1"/>
        <v>9.7799999999999994</v>
      </c>
      <c r="C78" vm="291">
        <f ca="1"/>
        <v>9.8350000000000009</v>
      </c>
      <c r="D78" vm="340">
        <f ca="1"/>
        <v>10.0054</v>
      </c>
      <c r="E78" vm="188">
        <f ca="1"/>
        <v>9.7100000000000009</v>
      </c>
      <c r="F78" vm="341">
        <f ca="1"/>
        <v>158691527</v>
      </c>
      <c r="G78" s="1">
        <f t="shared" ca="1" si="15"/>
        <v>9.5842857142857145</v>
      </c>
      <c r="H78" s="1">
        <f t="shared" ca="1" si="12"/>
        <v>9.6074999999999982</v>
      </c>
      <c r="I78" s="1">
        <f t="shared" ca="1" si="11"/>
        <v>9.5994079999999968</v>
      </c>
      <c r="J78">
        <f t="shared" ca="1" si="13"/>
        <v>0.295399999999999</v>
      </c>
      <c r="K78" s="1">
        <f t="shared" ca="1" si="5"/>
        <v>0.46724000000000004</v>
      </c>
      <c r="L78" s="2">
        <f t="shared" ca="1" si="14"/>
        <v>2.976635464816324E-2</v>
      </c>
      <c r="M78">
        <f t="shared" ca="1" si="3"/>
        <v>2.82660093678322E-2</v>
      </c>
      <c r="N78">
        <f t="shared" ca="1" si="6"/>
        <v>162650552.15000001</v>
      </c>
      <c r="O78">
        <f t="shared" ca="1" si="7"/>
        <v>9.6074999999999982</v>
      </c>
      <c r="P78">
        <f t="shared" ca="1" si="8"/>
        <v>0.36848016443079723</v>
      </c>
      <c r="Q78">
        <f t="shared" ca="1" si="9"/>
        <v>10.344460328861592</v>
      </c>
      <c r="R78">
        <f t="shared" ca="1" si="10"/>
        <v>8.8705396711384044</v>
      </c>
    </row>
    <row r="79" spans="1:18" x14ac:dyDescent="0.25">
      <c r="A79" vm="342">
        <f ca="1"/>
        <v>45771</v>
      </c>
      <c r="B79" vm="343">
        <f ca="1"/>
        <v>10.06</v>
      </c>
      <c r="C79" vm="344">
        <f ca="1"/>
        <v>9.8699999999999992</v>
      </c>
      <c r="D79" vm="269">
        <f ca="1"/>
        <v>10.09</v>
      </c>
      <c r="E79" vm="345">
        <f ca="1"/>
        <v>9.8149999999999995</v>
      </c>
      <c r="F79" vm="346">
        <f ca="1"/>
        <v>87031042</v>
      </c>
      <c r="G79" s="1">
        <f t="shared" ca="1" si="15"/>
        <v>9.6342857142857135</v>
      </c>
      <c r="H79" s="1">
        <f t="shared" ca="1" si="12"/>
        <v>9.5954999999999995</v>
      </c>
      <c r="I79" s="1">
        <f t="shared" ca="1" si="11"/>
        <v>9.6193219999999968</v>
      </c>
      <c r="J79">
        <f t="shared" ca="1" si="13"/>
        <v>0.27500000000000036</v>
      </c>
      <c r="K79" s="1">
        <f t="shared" ca="1" si="5"/>
        <v>0.46799000000000007</v>
      </c>
      <c r="L79" s="2">
        <f t="shared" ca="1" si="14"/>
        <v>5.9248417971423661E-2</v>
      </c>
      <c r="M79">
        <f t="shared" ca="1" si="3"/>
        <v>3.291051293017408E-2</v>
      </c>
      <c r="N79">
        <f t="shared" ca="1" si="6"/>
        <v>159953325.15000001</v>
      </c>
      <c r="O79">
        <f t="shared" ca="1" si="7"/>
        <v>9.5954999999999995</v>
      </c>
      <c r="P79">
        <f t="shared" ca="1" si="8"/>
        <v>0.34808460858940904</v>
      </c>
      <c r="Q79">
        <f t="shared" ca="1" si="9"/>
        <v>10.291669217178818</v>
      </c>
      <c r="R79">
        <f t="shared" ca="1" si="10"/>
        <v>8.8993307828211812</v>
      </c>
    </row>
    <row r="80" spans="1:18" x14ac:dyDescent="0.25">
      <c r="A80" vm="347">
        <f ca="1"/>
        <v>45772</v>
      </c>
      <c r="B80" vm="239">
        <f ca="1"/>
        <v>10.039999999999999</v>
      </c>
      <c r="C80" vm="348">
        <f ca="1"/>
        <v>10.045</v>
      </c>
      <c r="D80" vm="287">
        <f ca="1"/>
        <v>10.1</v>
      </c>
      <c r="E80" vm="349">
        <f ca="1"/>
        <v>9.9700000000000006</v>
      </c>
      <c r="F80" vm="350">
        <f ca="1"/>
        <v>88682432</v>
      </c>
      <c r="G80" s="1">
        <f t="shared" ca="1" si="15"/>
        <v>9.718571428571428</v>
      </c>
      <c r="H80" s="1">
        <f t="shared" ca="1" si="12"/>
        <v>9.6024999999999991</v>
      </c>
      <c r="I80" s="1">
        <f t="shared" ca="1" si="11"/>
        <v>9.638441999999996</v>
      </c>
      <c r="J80">
        <f t="shared" ca="1" si="13"/>
        <v>0.12999999999999901</v>
      </c>
      <c r="K80" s="1">
        <f t="shared" ca="1" si="5"/>
        <v>0.44549000000000005</v>
      </c>
      <c r="L80" s="2">
        <f t="shared" ca="1" si="14"/>
        <v>5.7142556305476377E-2</v>
      </c>
      <c r="M80">
        <f t="shared" ref="M80:M143" ca="1" si="16">_xlfn.STDEV.P(L67:L80)</f>
        <v>3.6279993432699456E-2</v>
      </c>
      <c r="N80">
        <f t="shared" ca="1" si="6"/>
        <v>152935823.30000001</v>
      </c>
      <c r="O80">
        <f t="shared" ca="1" si="7"/>
        <v>9.6024999999999991</v>
      </c>
      <c r="P80">
        <f t="shared" ca="1" si="8"/>
        <v>0.35585146221126407</v>
      </c>
      <c r="Q80">
        <f t="shared" ca="1" si="9"/>
        <v>10.314202924422528</v>
      </c>
      <c r="R80">
        <f t="shared" ca="1" si="10"/>
        <v>8.8907970755774706</v>
      </c>
    </row>
    <row r="81" spans="1:18" x14ac:dyDescent="0.25">
      <c r="A81" vm="351">
        <f ca="1"/>
        <v>45775</v>
      </c>
      <c r="B81" vm="352">
        <f ca="1"/>
        <v>10.02</v>
      </c>
      <c r="C81" vm="343">
        <f ca="1"/>
        <v>10.06</v>
      </c>
      <c r="D81" vm="353">
        <f ca="1"/>
        <v>10.18</v>
      </c>
      <c r="E81" vm="354">
        <f ca="1"/>
        <v>9.9701000000000004</v>
      </c>
      <c r="F81" vm="355">
        <f ca="1"/>
        <v>77051524</v>
      </c>
      <c r="G81" s="1">
        <f t="shared" ca="1" si="15"/>
        <v>9.8071428571428587</v>
      </c>
      <c r="H81" s="1">
        <f t="shared" ca="1" si="12"/>
        <v>9.6175000000000015</v>
      </c>
      <c r="I81" s="1">
        <f t="shared" ca="1" si="11"/>
        <v>9.6547999999999963</v>
      </c>
      <c r="J81">
        <f t="shared" ca="1" si="13"/>
        <v>0.20989999999999931</v>
      </c>
      <c r="K81" s="1">
        <f t="shared" ca="1" si="5"/>
        <v>0.44248499999999991</v>
      </c>
      <c r="L81" s="2">
        <f t="shared" ca="1" si="14"/>
        <v>5.5036694639529093E-2</v>
      </c>
      <c r="M81">
        <f t="shared" ca="1" si="16"/>
        <v>3.787453316479622E-2</v>
      </c>
      <c r="N81">
        <f t="shared" ca="1" si="6"/>
        <v>149944983.15000001</v>
      </c>
      <c r="O81">
        <f t="shared" ca="1" si="7"/>
        <v>9.6175000000000015</v>
      </c>
      <c r="P81">
        <f t="shared" ca="1" si="8"/>
        <v>0.36720673941757137</v>
      </c>
      <c r="Q81">
        <f t="shared" ca="1" si="9"/>
        <v>10.351913478835144</v>
      </c>
      <c r="R81">
        <f t="shared" ca="1" si="10"/>
        <v>8.8830865211648593</v>
      </c>
    </row>
    <row r="82" spans="1:18" x14ac:dyDescent="0.25">
      <c r="A82" vm="356">
        <f ca="1"/>
        <v>45776</v>
      </c>
      <c r="B82" vm="250">
        <f ca="1"/>
        <v>10.15</v>
      </c>
      <c r="C82" vm="249">
        <f ca="1"/>
        <v>10.07</v>
      </c>
      <c r="D82" vm="357">
        <f ca="1"/>
        <v>10.19</v>
      </c>
      <c r="E82" vm="358">
        <f ca="1"/>
        <v>9.9250000000000007</v>
      </c>
      <c r="F82" vm="359">
        <f ca="1"/>
        <v>141980313</v>
      </c>
      <c r="G82" s="1">
        <f t="shared" ca="1" si="15"/>
        <v>9.8814285714285717</v>
      </c>
      <c r="H82" s="1">
        <f t="shared" ca="1" si="12"/>
        <v>9.6235000000000017</v>
      </c>
      <c r="I82" s="1">
        <f t="shared" ca="1" si="11"/>
        <v>9.6711999999999954</v>
      </c>
      <c r="J82">
        <f t="shared" ca="1" si="13"/>
        <v>0.26499999999999879</v>
      </c>
      <c r="K82" s="1">
        <f t="shared" ca="1" si="5"/>
        <v>0.42748499999999989</v>
      </c>
      <c r="L82" s="2">
        <f t="shared" ca="1" si="14"/>
        <v>6.8724795468185773E-2</v>
      </c>
      <c r="M82">
        <f t="shared" ca="1" si="16"/>
        <v>3.1388257781196111E-2</v>
      </c>
      <c r="N82">
        <f t="shared" ca="1" si="6"/>
        <v>150046405.40000001</v>
      </c>
      <c r="O82">
        <f t="shared" ca="1" si="7"/>
        <v>9.6235000000000017</v>
      </c>
      <c r="P82">
        <f t="shared" ca="1" si="8"/>
        <v>0.37519503700005641</v>
      </c>
      <c r="Q82">
        <f t="shared" ca="1" si="9"/>
        <v>10.373890074000114</v>
      </c>
      <c r="R82">
        <f t="shared" ca="1" si="10"/>
        <v>8.8731099259998896</v>
      </c>
    </row>
    <row r="83" spans="1:18" x14ac:dyDescent="0.25">
      <c r="A83" vm="360">
        <f ca="1"/>
        <v>45777</v>
      </c>
      <c r="B83" vm="248">
        <f ca="1"/>
        <v>10.01</v>
      </c>
      <c r="C83" vm="282">
        <f ca="1"/>
        <v>10.11</v>
      </c>
      <c r="D83" vm="361">
        <f ca="1"/>
        <v>10.130000000000001</v>
      </c>
      <c r="E83" vm="362">
        <f ca="1"/>
        <v>9.86</v>
      </c>
      <c r="F83" vm="363">
        <f ca="1"/>
        <v>136406235</v>
      </c>
      <c r="G83" s="1">
        <f t="shared" ca="1" si="15"/>
        <v>9.9585714285714282</v>
      </c>
      <c r="H83" s="1">
        <f t="shared" ca="1" si="12"/>
        <v>9.6269999999999989</v>
      </c>
      <c r="I83" s="1">
        <f t="shared" ca="1" si="11"/>
        <v>9.6855999999999955</v>
      </c>
      <c r="J83">
        <f t="shared" ca="1" si="13"/>
        <v>0.27000000000000135</v>
      </c>
      <c r="K83" s="1">
        <f t="shared" ca="1" si="5"/>
        <v>0.422985</v>
      </c>
      <c r="L83" s="2">
        <f t="shared" ca="1" si="14"/>
        <v>5.3983763806555674E-2</v>
      </c>
      <c r="M83">
        <f t="shared" ca="1" si="16"/>
        <v>3.2280846264544215E-2</v>
      </c>
      <c r="N83">
        <f t="shared" ca="1" si="6"/>
        <v>150097282.94999999</v>
      </c>
      <c r="O83">
        <f t="shared" ca="1" si="7"/>
        <v>9.6269999999999989</v>
      </c>
      <c r="P83">
        <f t="shared" ca="1" si="8"/>
        <v>0.37861381518987336</v>
      </c>
      <c r="Q83">
        <f t="shared" ca="1" si="9"/>
        <v>10.384227630379746</v>
      </c>
      <c r="R83">
        <f t="shared" ca="1" si="10"/>
        <v>8.869772369620252</v>
      </c>
    </row>
    <row r="84" spans="1:18" x14ac:dyDescent="0.25">
      <c r="A84" vm="364">
        <f ca="1"/>
        <v>45778</v>
      </c>
      <c r="B84" vm="353">
        <f ca="1"/>
        <v>10.18</v>
      </c>
      <c r="C84" vm="214">
        <f ca="1"/>
        <v>10.14</v>
      </c>
      <c r="D84" vm="365">
        <f ca="1"/>
        <v>10.32</v>
      </c>
      <c r="E84" vm="352">
        <f ca="1"/>
        <v>10.02</v>
      </c>
      <c r="F84" vm="366">
        <f ca="1"/>
        <v>126532486</v>
      </c>
      <c r="G84" s="1">
        <f t="shared" ca="1" si="15"/>
        <v>10.034285714285714</v>
      </c>
      <c r="H84" s="1">
        <f t="shared" ca="1" si="12"/>
        <v>9.6284999999999989</v>
      </c>
      <c r="I84" s="1">
        <f t="shared" ref="I84:I115" ca="1" si="17">AVERAGE(B35:B84)</f>
        <v>9.7023999999999972</v>
      </c>
      <c r="J84">
        <f t="shared" ca="1" si="13"/>
        <v>0.30000000000000071</v>
      </c>
      <c r="K84" s="1">
        <f t="shared" ca="1" si="5"/>
        <v>0.41548500000000005</v>
      </c>
      <c r="L84" s="2">
        <f t="shared" ca="1" si="14"/>
        <v>7.1883587967106477E-2</v>
      </c>
      <c r="M84">
        <f t="shared" ca="1" si="16"/>
        <v>3.0170854788818889E-2</v>
      </c>
      <c r="N84">
        <f t="shared" ca="1" si="6"/>
        <v>149578483</v>
      </c>
      <c r="O84">
        <f t="shared" ca="1" si="7"/>
        <v>9.6284999999999989</v>
      </c>
      <c r="P84">
        <f t="shared" ca="1" si="8"/>
        <v>0.38084773860428783</v>
      </c>
      <c r="Q84">
        <f t="shared" ca="1" si="9"/>
        <v>10.390195477208575</v>
      </c>
      <c r="R84">
        <f t="shared" ca="1" si="10"/>
        <v>8.8668045227914227</v>
      </c>
    </row>
    <row r="85" spans="1:18" x14ac:dyDescent="0.25">
      <c r="A85" vm="367">
        <f ca="1"/>
        <v>45779</v>
      </c>
      <c r="B85" vm="244">
        <f ca="1"/>
        <v>10.28</v>
      </c>
      <c r="C85" vm="264">
        <f ca="1"/>
        <v>10.3</v>
      </c>
      <c r="D85" vm="368">
        <f ca="1"/>
        <v>10.39</v>
      </c>
      <c r="E85" vm="369">
        <f ca="1"/>
        <v>10.215</v>
      </c>
      <c r="F85" vm="370">
        <f ca="1"/>
        <v>82228655</v>
      </c>
      <c r="G85" s="1">
        <f t="shared" ca="1" si="15"/>
        <v>10.105714285714285</v>
      </c>
      <c r="H85" s="1">
        <f t="shared" ca="1" si="12"/>
        <v>9.6654999999999998</v>
      </c>
      <c r="I85" s="1">
        <f t="shared" ca="1" si="17"/>
        <v>9.7201999999999948</v>
      </c>
      <c r="J85">
        <f t="shared" ca="1" si="13"/>
        <v>0.17500000000000071</v>
      </c>
      <c r="K85" s="1">
        <f t="shared" ca="1" si="5"/>
        <v>0.39073500000000011</v>
      </c>
      <c r="L85" s="2">
        <f t="shared" ca="1" si="14"/>
        <v>8.2412896296842231E-2</v>
      </c>
      <c r="M85">
        <f t="shared" ca="1" si="16"/>
        <v>3.0019082581455431E-2</v>
      </c>
      <c r="N85">
        <f t="shared" ca="1" si="6"/>
        <v>142676366.75</v>
      </c>
      <c r="O85">
        <f t="shared" ca="1" si="7"/>
        <v>9.6654999999999998</v>
      </c>
      <c r="P85">
        <f t="shared" ca="1" si="8"/>
        <v>0.40685539911555013</v>
      </c>
      <c r="Q85">
        <f t="shared" ca="1" si="9"/>
        <v>10.479210798231101</v>
      </c>
      <c r="R85">
        <f t="shared" ca="1" si="10"/>
        <v>8.8517892017688986</v>
      </c>
    </row>
    <row r="86" spans="1:18" x14ac:dyDescent="0.25">
      <c r="A86" vm="371">
        <f ca="1"/>
        <v>45782</v>
      </c>
      <c r="B86" vm="243">
        <f ca="1"/>
        <v>10.17</v>
      </c>
      <c r="C86" vm="372">
        <f ca="1"/>
        <v>10.23</v>
      </c>
      <c r="D86" vm="373">
        <f ca="1"/>
        <v>10.24</v>
      </c>
      <c r="E86" vm="374">
        <f ca="1"/>
        <v>10.095000000000001</v>
      </c>
      <c r="F86" vm="375">
        <f ca="1"/>
        <v>105766259</v>
      </c>
      <c r="G86" s="1">
        <f t="shared" ca="1" si="15"/>
        <v>10.12142857142857</v>
      </c>
      <c r="H86" s="1">
        <f t="shared" ref="H86:H117" ca="1" si="18">AVERAGE(B67:B86)</f>
        <v>9.6950000000000003</v>
      </c>
      <c r="I86" s="1">
        <f t="shared" ca="1" si="17"/>
        <v>9.737999999999996</v>
      </c>
      <c r="J86">
        <f t="shared" ca="1" si="13"/>
        <v>0.14499999999999957</v>
      </c>
      <c r="K86" s="1">
        <f t="shared" ca="1" si="5"/>
        <v>0.37148500000000001</v>
      </c>
      <c r="L86" s="2">
        <f t="shared" ca="1" si="14"/>
        <v>7.0830657134132835E-2</v>
      </c>
      <c r="M86">
        <f t="shared" ca="1" si="16"/>
        <v>3.0957851162150964E-2</v>
      </c>
      <c r="N86">
        <f t="shared" ca="1" si="6"/>
        <v>139091368.30000001</v>
      </c>
      <c r="O86">
        <f t="shared" ca="1" si="7"/>
        <v>9.6950000000000003</v>
      </c>
      <c r="P86">
        <f t="shared" ca="1" si="8"/>
        <v>0.4214573712600998</v>
      </c>
      <c r="Q86">
        <f t="shared" ca="1" si="9"/>
        <v>10.537914742520201</v>
      </c>
      <c r="R86">
        <f t="shared" ca="1" si="10"/>
        <v>8.8520852574797999</v>
      </c>
    </row>
    <row r="87" spans="1:18" x14ac:dyDescent="0.25">
      <c r="A87" vm="376">
        <f ca="1"/>
        <v>45783</v>
      </c>
      <c r="B87" vm="377">
        <f ca="1"/>
        <v>10.44</v>
      </c>
      <c r="C87" vm="269">
        <f ca="1"/>
        <v>10.09</v>
      </c>
      <c r="D87" vm="378">
        <f ca="1"/>
        <v>10.62</v>
      </c>
      <c r="E87" vm="379">
        <f ca="1"/>
        <v>10.055</v>
      </c>
      <c r="F87" vm="380">
        <f ca="1"/>
        <v>131814035</v>
      </c>
      <c r="G87" s="1">
        <f t="shared" ca="1" si="15"/>
        <v>10.178571428571429</v>
      </c>
      <c r="H87" s="1">
        <f t="shared" ca="1" si="18"/>
        <v>9.754999999999999</v>
      </c>
      <c r="I87" s="1">
        <f t="shared" ca="1" si="17"/>
        <v>9.7597999999999967</v>
      </c>
      <c r="J87">
        <f t="shared" ca="1" si="13"/>
        <v>0.5649999999999995</v>
      </c>
      <c r="K87" s="1">
        <f t="shared" ref="K87:K150" ca="1" si="19">AVERAGE(J68:J87)</f>
        <v>0.36773499999999998</v>
      </c>
      <c r="L87" s="2">
        <f t="shared" ca="1" si="14"/>
        <v>9.9259789624419614E-2</v>
      </c>
      <c r="M87">
        <f t="shared" ca="1" si="16"/>
        <v>3.1752598174379608E-2</v>
      </c>
      <c r="N87">
        <f t="shared" ref="N87:N150" ca="1" si="20">AVERAGE(F68:F87)</f>
        <v>131935145.2</v>
      </c>
      <c r="O87">
        <f t="shared" ref="O87:O150" ca="1" si="21">AVERAGE(B68:B87)</f>
        <v>9.754999999999999</v>
      </c>
      <c r="P87">
        <f t="shared" ref="P87:P150" ca="1" si="22">_xlfn.STDEV.S(B68:B87)</f>
        <v>0.43835217756838762</v>
      </c>
      <c r="Q87">
        <f t="shared" ref="Q87:Q150" ca="1" si="23">O87 + (2 * P87)</f>
        <v>10.631704355136774</v>
      </c>
      <c r="R87">
        <f t="shared" ref="R87:R150" ca="1" si="24">O87 - (2 * P87)</f>
        <v>8.8782956448632238</v>
      </c>
    </row>
    <row r="88" spans="1:18" x14ac:dyDescent="0.25">
      <c r="A88" vm="381">
        <f ca="1"/>
        <v>45784</v>
      </c>
      <c r="B88" vm="244">
        <f ca="1"/>
        <v>10.28</v>
      </c>
      <c r="C88" vm="382">
        <f ca="1"/>
        <v>10.46</v>
      </c>
      <c r="D88" vm="383">
        <f ca="1"/>
        <v>10.505000000000001</v>
      </c>
      <c r="E88" vm="256">
        <f ca="1"/>
        <v>10.119999999999999</v>
      </c>
      <c r="F88" vm="384">
        <f ca="1"/>
        <v>116936644</v>
      </c>
      <c r="G88" s="1">
        <f t="shared" ca="1" si="15"/>
        <v>10.215714285714284</v>
      </c>
      <c r="H88" s="1">
        <f t="shared" ca="1" si="18"/>
        <v>9.8344999999999985</v>
      </c>
      <c r="I88" s="1">
        <f t="shared" ca="1" si="17"/>
        <v>9.7769999999999957</v>
      </c>
      <c r="J88">
        <f t="shared" ca="1" si="13"/>
        <v>0.38500000000000156</v>
      </c>
      <c r="K88" s="1">
        <f t="shared" ca="1" si="19"/>
        <v>0.33848500000000009</v>
      </c>
      <c r="L88" s="2">
        <f t="shared" ca="1" si="14"/>
        <v>8.2412896296842231E-2</v>
      </c>
      <c r="M88">
        <f t="shared" ca="1" si="16"/>
        <v>2.8514956481730108E-2</v>
      </c>
      <c r="N88">
        <f t="shared" ca="1" si="20"/>
        <v>127817638.5</v>
      </c>
      <c r="O88">
        <f t="shared" ca="1" si="21"/>
        <v>9.8344999999999985</v>
      </c>
      <c r="P88">
        <f t="shared" ca="1" si="22"/>
        <v>0.3745801158068785</v>
      </c>
      <c r="Q88">
        <f t="shared" ca="1" si="23"/>
        <v>10.583660231613756</v>
      </c>
      <c r="R88">
        <f t="shared" ca="1" si="24"/>
        <v>9.0853397683862411</v>
      </c>
    </row>
    <row r="89" spans="1:18" x14ac:dyDescent="0.25">
      <c r="A89" vm="385">
        <f ca="1"/>
        <v>45785</v>
      </c>
      <c r="B89" vm="244">
        <f ca="1"/>
        <v>10.28</v>
      </c>
      <c r="C89" vm="386">
        <f ca="1"/>
        <v>10.34</v>
      </c>
      <c r="D89" vm="387">
        <f ca="1"/>
        <v>10.464</v>
      </c>
      <c r="E89" vm="272">
        <f ca="1"/>
        <v>10.26</v>
      </c>
      <c r="F89" vm="388">
        <f ca="1"/>
        <v>107173416</v>
      </c>
      <c r="G89" s="1">
        <f t="shared" ca="1" si="15"/>
        <v>10.234285714285715</v>
      </c>
      <c r="H89" s="1">
        <f t="shared" ca="1" si="18"/>
        <v>9.8734999999999999</v>
      </c>
      <c r="I89" s="1">
        <f t="shared" ca="1" si="17"/>
        <v>9.7931999999999952</v>
      </c>
      <c r="J89">
        <f t="shared" ca="1" si="13"/>
        <v>0.20400000000000063</v>
      </c>
      <c r="K89" s="1">
        <f t="shared" ca="1" si="19"/>
        <v>0.29371500000000017</v>
      </c>
      <c r="L89" s="2">
        <f t="shared" ca="1" si="14"/>
        <v>8.2412896296842231E-2</v>
      </c>
      <c r="M89">
        <f t="shared" ca="1" si="16"/>
        <v>2.7039093255460136E-2</v>
      </c>
      <c r="N89">
        <f t="shared" ca="1" si="20"/>
        <v>123193159.90000001</v>
      </c>
      <c r="O89">
        <f t="shared" ca="1" si="21"/>
        <v>9.8734999999999999</v>
      </c>
      <c r="P89">
        <f t="shared" ca="1" si="22"/>
        <v>0.3785050232580523</v>
      </c>
      <c r="Q89">
        <f t="shared" ca="1" si="23"/>
        <v>10.630510046516104</v>
      </c>
      <c r="R89">
        <f t="shared" ca="1" si="24"/>
        <v>9.1164899534838959</v>
      </c>
    </row>
    <row r="90" spans="1:18" x14ac:dyDescent="0.25">
      <c r="A90" vm="389">
        <f ca="1"/>
        <v>45786</v>
      </c>
      <c r="B90" vm="390">
        <f ca="1"/>
        <v>10.43</v>
      </c>
      <c r="C90" vm="391">
        <f ca="1"/>
        <v>10.355</v>
      </c>
      <c r="D90" vm="392">
        <f ca="1"/>
        <v>10.49</v>
      </c>
      <c r="E90" vm="265">
        <f ca="1"/>
        <v>10.35</v>
      </c>
      <c r="F90" vm="393">
        <f ca="1"/>
        <v>76350701</v>
      </c>
      <c r="G90" s="1">
        <f t="shared" ca="1" si="15"/>
        <v>10.294285714285715</v>
      </c>
      <c r="H90" s="1">
        <f t="shared" ca="1" si="18"/>
        <v>9.9380000000000006</v>
      </c>
      <c r="I90" s="1">
        <f t="shared" ca="1" si="17"/>
        <v>9.8159999999999972</v>
      </c>
      <c r="J90">
        <f t="shared" ca="1" si="13"/>
        <v>0.14000000000000057</v>
      </c>
      <c r="K90" s="1">
        <f t="shared" ca="1" si="19"/>
        <v>0.28071500000000027</v>
      </c>
      <c r="L90" s="2">
        <f t="shared" ca="1" si="14"/>
        <v>9.8206858791445972E-2</v>
      </c>
      <c r="M90">
        <f t="shared" ca="1" si="16"/>
        <v>2.2693415131147657E-2</v>
      </c>
      <c r="N90">
        <f t="shared" ca="1" si="20"/>
        <v>118833923.25</v>
      </c>
      <c r="O90">
        <f t="shared" ca="1" si="21"/>
        <v>9.9380000000000006</v>
      </c>
      <c r="P90">
        <f t="shared" ca="1" si="22"/>
        <v>0.3561874137083037</v>
      </c>
      <c r="Q90">
        <f t="shared" ca="1" si="23"/>
        <v>10.650374827416607</v>
      </c>
      <c r="R90">
        <f t="shared" ca="1" si="24"/>
        <v>9.2256251725833938</v>
      </c>
    </row>
    <row r="91" spans="1:18" x14ac:dyDescent="0.25">
      <c r="A91" vm="394">
        <f ca="1"/>
        <v>45789</v>
      </c>
      <c r="B91" vm="395">
        <f ca="1"/>
        <v>10.55</v>
      </c>
      <c r="C91" vm="396">
        <f ca="1"/>
        <v>10.56</v>
      </c>
      <c r="D91" vm="397">
        <f ca="1"/>
        <v>10.73</v>
      </c>
      <c r="E91" vm="398">
        <f ca="1"/>
        <v>10.48</v>
      </c>
      <c r="F91" vm="399">
        <f ca="1"/>
        <v>102035764</v>
      </c>
      <c r="G91" s="1">
        <f t="shared" ca="1" si="15"/>
        <v>10.347142857142858</v>
      </c>
      <c r="H91" s="1">
        <f t="shared" ca="1" si="18"/>
        <v>9.9990000000000006</v>
      </c>
      <c r="I91" s="1">
        <f t="shared" ca="1" si="17"/>
        <v>9.8359999999999967</v>
      </c>
      <c r="J91">
        <f t="shared" ca="1" si="13"/>
        <v>0.25</v>
      </c>
      <c r="K91" s="1">
        <f t="shared" ca="1" si="19"/>
        <v>0.27771500000000027</v>
      </c>
      <c r="L91" s="2">
        <f t="shared" ca="1" si="14"/>
        <v>0.11084202878712923</v>
      </c>
      <c r="M91">
        <f t="shared" ca="1" si="16"/>
        <v>2.077262509051717E-2</v>
      </c>
      <c r="N91">
        <f t="shared" ca="1" si="20"/>
        <v>116632026.40000001</v>
      </c>
      <c r="O91">
        <f t="shared" ca="1" si="21"/>
        <v>9.9990000000000006</v>
      </c>
      <c r="P91">
        <f t="shared" ca="1" si="22"/>
        <v>0.35101207056768058</v>
      </c>
      <c r="Q91">
        <f t="shared" ca="1" si="23"/>
        <v>10.701024141135361</v>
      </c>
      <c r="R91">
        <f t="shared" ca="1" si="24"/>
        <v>9.2969758588646396</v>
      </c>
    </row>
    <row r="92" spans="1:18" x14ac:dyDescent="0.25">
      <c r="A92" vm="400">
        <f ca="1"/>
        <v>45790</v>
      </c>
      <c r="B92" vm="401">
        <f ca="1"/>
        <v>10.6</v>
      </c>
      <c r="C92" vm="402">
        <f ca="1"/>
        <v>10.595000000000001</v>
      </c>
      <c r="D92" vm="403">
        <f ca="1"/>
        <v>10.63</v>
      </c>
      <c r="E92" vm="404">
        <f ca="1"/>
        <v>10.42</v>
      </c>
      <c r="F92" vm="405">
        <f ca="1"/>
        <v>83671012</v>
      </c>
      <c r="G92" s="1">
        <f t="shared" ca="1" si="15"/>
        <v>10.392857142857142</v>
      </c>
      <c r="H92" s="1">
        <f t="shared" ca="1" si="18"/>
        <v>10.0435</v>
      </c>
      <c r="I92" s="1">
        <f t="shared" ca="1" si="17"/>
        <v>9.8601999999999972</v>
      </c>
      <c r="J92">
        <f t="shared" ca="1" si="13"/>
        <v>0.21000000000000085</v>
      </c>
      <c r="K92" s="1">
        <f t="shared" ca="1" si="19"/>
        <v>0.25771500000000025</v>
      </c>
      <c r="L92" s="2">
        <f t="shared" ca="1" si="14"/>
        <v>0.116106682951997</v>
      </c>
      <c r="M92">
        <f t="shared" ca="1" si="16"/>
        <v>1.9812631218701238E-2</v>
      </c>
      <c r="N92">
        <f t="shared" ca="1" si="20"/>
        <v>111317826.95</v>
      </c>
      <c r="O92">
        <f t="shared" ca="1" si="21"/>
        <v>10.0435</v>
      </c>
      <c r="P92">
        <f t="shared" ca="1" si="22"/>
        <v>0.36842874052129149</v>
      </c>
      <c r="Q92">
        <f t="shared" ca="1" si="23"/>
        <v>10.780357481042582</v>
      </c>
      <c r="R92">
        <f t="shared" ca="1" si="24"/>
        <v>9.3066425189574176</v>
      </c>
    </row>
    <row r="93" spans="1:18" x14ac:dyDescent="0.25">
      <c r="A93" vm="406">
        <f ca="1"/>
        <v>45791</v>
      </c>
      <c r="B93" vm="407">
        <f ca="1"/>
        <v>10.65</v>
      </c>
      <c r="C93" vm="408">
        <f ca="1"/>
        <v>10.57</v>
      </c>
      <c r="D93" vm="409">
        <f ca="1"/>
        <v>10.7</v>
      </c>
      <c r="E93" vm="398">
        <f ca="1"/>
        <v>10.48</v>
      </c>
      <c r="F93" vm="410">
        <f ca="1"/>
        <v>84453089</v>
      </c>
      <c r="G93" s="1">
        <f t="shared" ca="1" si="15"/>
        <v>10.461428571428572</v>
      </c>
      <c r="H93" s="1">
        <f t="shared" ca="1" si="18"/>
        <v>10.1035</v>
      </c>
      <c r="I93" s="1">
        <f t="shared" ca="1" si="17"/>
        <v>9.8907999999999969</v>
      </c>
      <c r="J93">
        <f t="shared" ca="1" si="13"/>
        <v>0.21999999999999886</v>
      </c>
      <c r="K93" s="1">
        <f t="shared" ca="1" si="19"/>
        <v>0.25621500000000019</v>
      </c>
      <c r="L93" s="2">
        <f t="shared" ca="1" si="14"/>
        <v>0.12137133711686499</v>
      </c>
      <c r="M93">
        <f t="shared" ca="1" si="16"/>
        <v>2.1717146100139872E-2</v>
      </c>
      <c r="N93">
        <f t="shared" ca="1" si="20"/>
        <v>109267030.25</v>
      </c>
      <c r="O93">
        <f t="shared" ca="1" si="21"/>
        <v>10.1035</v>
      </c>
      <c r="P93">
        <f t="shared" ca="1" si="22"/>
        <v>0.36437798477607503</v>
      </c>
      <c r="Q93">
        <f t="shared" ca="1" si="23"/>
        <v>10.832255969552151</v>
      </c>
      <c r="R93">
        <f t="shared" ca="1" si="24"/>
        <v>9.3747440304478502</v>
      </c>
    </row>
    <row r="94" spans="1:18" x14ac:dyDescent="0.25">
      <c r="A94" vm="411">
        <f ca="1"/>
        <v>45792</v>
      </c>
      <c r="B94" vm="412">
        <f ca="1"/>
        <v>10.75</v>
      </c>
      <c r="C94" vm="413">
        <f ca="1"/>
        <v>10.59</v>
      </c>
      <c r="D94" vm="414">
        <f ca="1"/>
        <v>10.78</v>
      </c>
      <c r="E94" vm="395">
        <f ca="1"/>
        <v>10.55</v>
      </c>
      <c r="F94" vm="415">
        <f ca="1"/>
        <v>71096528</v>
      </c>
      <c r="G94" s="1">
        <f t="shared" ca="1" si="15"/>
        <v>10.505714285714285</v>
      </c>
      <c r="H94" s="1">
        <f t="shared" ca="1" si="18"/>
        <v>10.171000000000003</v>
      </c>
      <c r="I94" s="1">
        <f t="shared" ca="1" si="17"/>
        <v>9.9127999999999972</v>
      </c>
      <c r="J94">
        <f t="shared" ca="1" si="13"/>
        <v>0.22999999999999865</v>
      </c>
      <c r="K94" s="1">
        <f t="shared" ca="1" si="19"/>
        <v>0.25121500000000008</v>
      </c>
      <c r="L94" s="2">
        <f t="shared" ca="1" si="14"/>
        <v>0.13190064544660074</v>
      </c>
      <c r="M94">
        <f t="shared" ca="1" si="16"/>
        <v>2.3655580895052725E-2</v>
      </c>
      <c r="N94">
        <f t="shared" ca="1" si="20"/>
        <v>106131609.5</v>
      </c>
      <c r="O94">
        <f t="shared" ca="1" si="21"/>
        <v>10.171000000000003</v>
      </c>
      <c r="P94">
        <f t="shared" ca="1" si="22"/>
        <v>0.35203020205359459</v>
      </c>
      <c r="Q94">
        <f t="shared" ca="1" si="23"/>
        <v>10.875060404107192</v>
      </c>
      <c r="R94">
        <f t="shared" ca="1" si="24"/>
        <v>9.4669395958928142</v>
      </c>
    </row>
    <row r="95" spans="1:18" x14ac:dyDescent="0.25">
      <c r="A95" vm="416">
        <f ca="1"/>
        <v>45793</v>
      </c>
      <c r="B95" vm="417">
        <f ca="1"/>
        <v>10.8</v>
      </c>
      <c r="C95" vm="418">
        <f ca="1"/>
        <v>10.77</v>
      </c>
      <c r="D95" vm="419">
        <f ca="1"/>
        <v>10.81</v>
      </c>
      <c r="E95" vm="420">
        <f ca="1"/>
        <v>10.64</v>
      </c>
      <c r="F95" vm="421">
        <f ca="1"/>
        <v>64913005</v>
      </c>
      <c r="G95" s="1">
        <f t="shared" ca="1" si="15"/>
        <v>10.58</v>
      </c>
      <c r="H95" s="1">
        <f t="shared" ca="1" si="18"/>
        <v>10.229500000000002</v>
      </c>
      <c r="I95" s="1">
        <f t="shared" ca="1" si="17"/>
        <v>9.9365999999999985</v>
      </c>
      <c r="J95">
        <f t="shared" ca="1" si="13"/>
        <v>0.16999999999999993</v>
      </c>
      <c r="K95" s="1">
        <f t="shared" ca="1" si="19"/>
        <v>0.2454650000000001</v>
      </c>
      <c r="L95" s="2">
        <f t="shared" ca="1" si="14"/>
        <v>0.13716529961146873</v>
      </c>
      <c r="M95">
        <f t="shared" ca="1" si="16"/>
        <v>2.4677950002128652E-2</v>
      </c>
      <c r="N95">
        <f t="shared" ca="1" si="20"/>
        <v>102917031.5</v>
      </c>
      <c r="O95">
        <f t="shared" ca="1" si="21"/>
        <v>10.229500000000002</v>
      </c>
      <c r="P95">
        <f t="shared" ca="1" si="22"/>
        <v>0.35460096179404704</v>
      </c>
      <c r="Q95">
        <f t="shared" ca="1" si="23"/>
        <v>10.938701923588095</v>
      </c>
      <c r="R95">
        <f t="shared" ca="1" si="24"/>
        <v>9.5202980764119083</v>
      </c>
    </row>
    <row r="96" spans="1:18" x14ac:dyDescent="0.25">
      <c r="A96" vm="422">
        <f ca="1"/>
        <v>45796</v>
      </c>
      <c r="B96" vm="412">
        <f ca="1"/>
        <v>10.75</v>
      </c>
      <c r="C96" vm="423">
        <f ca="1"/>
        <v>10.69</v>
      </c>
      <c r="D96" vm="424">
        <f ca="1"/>
        <v>10.785</v>
      </c>
      <c r="E96" vm="403">
        <f ca="1"/>
        <v>10.63</v>
      </c>
      <c r="F96" vm="425">
        <f ca="1"/>
        <v>60195734</v>
      </c>
      <c r="G96" s="1">
        <f t="shared" ca="1" si="15"/>
        <v>10.647142857142857</v>
      </c>
      <c r="H96" s="1">
        <f t="shared" ca="1" si="18"/>
        <v>10.2935</v>
      </c>
      <c r="I96" s="1">
        <f t="shared" ca="1" si="17"/>
        <v>9.9535999999999998</v>
      </c>
      <c r="J96">
        <f t="shared" ca="1" si="13"/>
        <v>0.15499999999999936</v>
      </c>
      <c r="K96" s="1">
        <f t="shared" ca="1" si="19"/>
        <v>0.23921500000000001</v>
      </c>
      <c r="L96" s="2">
        <f t="shared" ca="1" si="14"/>
        <v>0.13190064544660074</v>
      </c>
      <c r="M96">
        <f t="shared" ca="1" si="16"/>
        <v>2.5262392516171486E-2</v>
      </c>
      <c r="N96">
        <f t="shared" ca="1" si="20"/>
        <v>101219874.09999999</v>
      </c>
      <c r="O96">
        <f t="shared" ca="1" si="21"/>
        <v>10.2935</v>
      </c>
      <c r="P96">
        <f t="shared" ca="1" si="22"/>
        <v>0.32454462023936842</v>
      </c>
      <c r="Q96">
        <f t="shared" ca="1" si="23"/>
        <v>10.942589240478737</v>
      </c>
      <c r="R96">
        <f t="shared" ca="1" si="24"/>
        <v>9.6444107595212625</v>
      </c>
    </row>
    <row r="97" spans="1:18" x14ac:dyDescent="0.25">
      <c r="A97" vm="426">
        <f ca="1"/>
        <v>45797</v>
      </c>
      <c r="B97" vm="427">
        <f ca="1"/>
        <v>10.72</v>
      </c>
      <c r="C97" vm="428">
        <f ca="1"/>
        <v>10.79</v>
      </c>
      <c r="D97" vm="429">
        <f ca="1"/>
        <v>10.84</v>
      </c>
      <c r="E97" vm="430">
        <f ca="1"/>
        <v>10.66</v>
      </c>
      <c r="F97" vm="431">
        <f ca="1"/>
        <v>61063828</v>
      </c>
      <c r="G97" s="1">
        <f t="shared" ca="1" si="15"/>
        <v>10.688571428571427</v>
      </c>
      <c r="H97" s="1">
        <f t="shared" ca="1" si="18"/>
        <v>10.347000000000001</v>
      </c>
      <c r="I97" s="1">
        <f t="shared" ca="1" si="17"/>
        <v>9.9687999999999981</v>
      </c>
      <c r="J97">
        <f t="shared" ca="1" si="13"/>
        <v>0.17999999999999972</v>
      </c>
      <c r="K97" s="1">
        <f t="shared" ca="1" si="19"/>
        <v>0.23871499999999993</v>
      </c>
      <c r="L97" s="2">
        <f t="shared" ca="1" si="14"/>
        <v>0.12874185294768004</v>
      </c>
      <c r="M97">
        <f t="shared" ca="1" si="16"/>
        <v>2.2902696654631863E-2</v>
      </c>
      <c r="N97">
        <f t="shared" ca="1" si="20"/>
        <v>98203711.450000003</v>
      </c>
      <c r="O97">
        <f t="shared" ca="1" si="21"/>
        <v>10.347000000000001</v>
      </c>
      <c r="P97">
        <f t="shared" ca="1" si="22"/>
        <v>0.30015960666566105</v>
      </c>
      <c r="Q97">
        <f t="shared" ca="1" si="23"/>
        <v>10.947319213331323</v>
      </c>
      <c r="R97">
        <f t="shared" ca="1" si="24"/>
        <v>9.74668078666868</v>
      </c>
    </row>
    <row r="98" spans="1:18" x14ac:dyDescent="0.25">
      <c r="A98" vm="432">
        <f ca="1"/>
        <v>45798</v>
      </c>
      <c r="B98" vm="398">
        <f ca="1"/>
        <v>10.48</v>
      </c>
      <c r="C98" vm="430">
        <f ca="1"/>
        <v>10.66</v>
      </c>
      <c r="D98" vm="423">
        <f ca="1"/>
        <v>10.69</v>
      </c>
      <c r="E98" vm="433">
        <f ca="1"/>
        <v>10.45</v>
      </c>
      <c r="F98" vm="434">
        <f ca="1"/>
        <v>89090498</v>
      </c>
      <c r="G98" s="1">
        <f t="shared" ca="1" si="15"/>
        <v>10.678571428571429</v>
      </c>
      <c r="H98" s="1">
        <f t="shared" ca="1" si="18"/>
        <v>10.382000000000001</v>
      </c>
      <c r="I98" s="1">
        <f t="shared" ca="1" si="17"/>
        <v>9.9846000000000004</v>
      </c>
      <c r="J98">
        <f t="shared" ca="1" si="13"/>
        <v>0.24000000000000021</v>
      </c>
      <c r="K98" s="1">
        <f t="shared" ca="1" si="19"/>
        <v>0.23594499999999999</v>
      </c>
      <c r="L98" s="2">
        <f t="shared" ca="1" si="14"/>
        <v>0.10347151295631396</v>
      </c>
      <c r="M98">
        <f t="shared" ca="1" si="16"/>
        <v>2.104141892964562E-2</v>
      </c>
      <c r="N98">
        <f t="shared" ca="1" si="20"/>
        <v>94723660</v>
      </c>
      <c r="O98">
        <f t="shared" ca="1" si="21"/>
        <v>10.382000000000001</v>
      </c>
      <c r="P98">
        <f t="shared" ca="1" si="22"/>
        <v>0.26984595995727506</v>
      </c>
      <c r="Q98">
        <f t="shared" ca="1" si="23"/>
        <v>10.921691919914551</v>
      </c>
      <c r="R98">
        <f t="shared" ca="1" si="24"/>
        <v>9.8423080800854521</v>
      </c>
    </row>
    <row r="99" spans="1:18" x14ac:dyDescent="0.25">
      <c r="A99" vm="435">
        <f ca="1"/>
        <v>45799</v>
      </c>
      <c r="B99" vm="377">
        <f ca="1"/>
        <v>10.44</v>
      </c>
      <c r="C99" vm="398">
        <f ca="1"/>
        <v>10.48</v>
      </c>
      <c r="D99" vm="436">
        <f ca="1"/>
        <v>10.5</v>
      </c>
      <c r="E99" vm="386">
        <f ca="1"/>
        <v>10.34</v>
      </c>
      <c r="F99" vm="437">
        <f ca="1"/>
        <v>94081143</v>
      </c>
      <c r="G99" s="1">
        <f t="shared" ca="1" si="15"/>
        <v>10.655714285714286</v>
      </c>
      <c r="H99" s="1">
        <f t="shared" ca="1" si="18"/>
        <v>10.401</v>
      </c>
      <c r="I99" s="1">
        <f t="shared" ca="1" si="17"/>
        <v>10.001599999999998</v>
      </c>
      <c r="J99">
        <f t="shared" ca="1" si="13"/>
        <v>0.16000000000000014</v>
      </c>
      <c r="K99" s="1">
        <f t="shared" ca="1" si="19"/>
        <v>0.23019499999999998</v>
      </c>
      <c r="L99" s="2">
        <f t="shared" ca="1" si="14"/>
        <v>9.9259789624419614E-2</v>
      </c>
      <c r="M99">
        <f t="shared" ca="1" si="16"/>
        <v>2.0063846116304507E-2</v>
      </c>
      <c r="N99">
        <f t="shared" ca="1" si="20"/>
        <v>95076165.049999997</v>
      </c>
      <c r="O99">
        <f t="shared" ca="1" si="21"/>
        <v>10.401</v>
      </c>
      <c r="P99">
        <f t="shared" ca="1" si="22"/>
        <v>0.25914637197009588</v>
      </c>
      <c r="Q99">
        <f t="shared" ca="1" si="23"/>
        <v>10.919292743940192</v>
      </c>
      <c r="R99">
        <f t="shared" ca="1" si="24"/>
        <v>9.8827072560598079</v>
      </c>
    </row>
    <row r="100" spans="1:18" x14ac:dyDescent="0.25">
      <c r="A100" vm="438">
        <f ca="1"/>
        <v>45800</v>
      </c>
      <c r="B100" vm="439">
        <f ca="1"/>
        <v>10.36</v>
      </c>
      <c r="C100" vm="264">
        <f ca="1"/>
        <v>10.3</v>
      </c>
      <c r="D100" vm="440">
        <f ca="1"/>
        <v>10.41</v>
      </c>
      <c r="E100" vm="263">
        <f ca="1"/>
        <v>10.29</v>
      </c>
      <c r="F100" vm="441">
        <f ca="1"/>
        <v>80519024</v>
      </c>
      <c r="G100" s="1">
        <f t="shared" ca="1" si="15"/>
        <v>10.614285714285714</v>
      </c>
      <c r="H100" s="1">
        <f t="shared" ca="1" si="18"/>
        <v>10.416999999999998</v>
      </c>
      <c r="I100" s="1">
        <f t="shared" ca="1" si="17"/>
        <v>10.0182</v>
      </c>
      <c r="J100">
        <f t="shared" ca="1" si="13"/>
        <v>0.12000000000000099</v>
      </c>
      <c r="K100" s="1">
        <f t="shared" ca="1" si="19"/>
        <v>0.22969500000000007</v>
      </c>
      <c r="L100" s="2">
        <f t="shared" ca="1" si="14"/>
        <v>9.0836342960630923E-2</v>
      </c>
      <c r="M100">
        <f t="shared" ca="1" si="16"/>
        <v>1.7958032559490827E-2</v>
      </c>
      <c r="N100">
        <f t="shared" ca="1" si="20"/>
        <v>94667994.650000006</v>
      </c>
      <c r="O100">
        <f t="shared" ca="1" si="21"/>
        <v>10.416999999999998</v>
      </c>
      <c r="P100">
        <f t="shared" ca="1" si="22"/>
        <v>0.24518736122660009</v>
      </c>
      <c r="Q100">
        <f t="shared" ca="1" si="23"/>
        <v>10.907374722453199</v>
      </c>
      <c r="R100">
        <f t="shared" ca="1" si="24"/>
        <v>9.9266252775467976</v>
      </c>
    </row>
    <row r="101" spans="1:18" x14ac:dyDescent="0.25">
      <c r="A101" vm="442">
        <f ca="1"/>
        <v>45804</v>
      </c>
      <c r="B101" vm="443">
        <f ca="1"/>
        <v>10.31</v>
      </c>
      <c r="C101" vm="433">
        <f ca="1"/>
        <v>10.45</v>
      </c>
      <c r="D101" vm="444">
        <f ca="1"/>
        <v>10.489699999999999</v>
      </c>
      <c r="E101" vm="445">
        <f ca="1"/>
        <v>10.210000000000001</v>
      </c>
      <c r="F101" vm="446">
        <f ca="1"/>
        <v>89066847</v>
      </c>
      <c r="G101" s="1">
        <f t="shared" ca="1" si="15"/>
        <v>10.551428571428572</v>
      </c>
      <c r="H101" s="1">
        <f t="shared" ca="1" si="18"/>
        <v>10.4315</v>
      </c>
      <c r="I101" s="1">
        <f t="shared" ca="1" si="17"/>
        <v>10.0298</v>
      </c>
      <c r="J101">
        <f t="shared" ca="1" si="13"/>
        <v>0.27969999999999828</v>
      </c>
      <c r="K101" s="1">
        <f t="shared" ca="1" si="19"/>
        <v>0.23318500000000003</v>
      </c>
      <c r="L101" s="2">
        <f t="shared" ca="1" si="14"/>
        <v>8.5571688795763157E-2</v>
      </c>
      <c r="M101">
        <f t="shared" ca="1" si="16"/>
        <v>1.8843205769190272E-2</v>
      </c>
      <c r="N101">
        <f t="shared" ca="1" si="20"/>
        <v>95268760.799999997</v>
      </c>
      <c r="O101">
        <f t="shared" ca="1" si="21"/>
        <v>10.4315</v>
      </c>
      <c r="P101">
        <f t="shared" ca="1" si="22"/>
        <v>0.2284795280475741</v>
      </c>
      <c r="Q101">
        <f t="shared" ca="1" si="23"/>
        <v>10.888459056095147</v>
      </c>
      <c r="R101">
        <f t="shared" ca="1" si="24"/>
        <v>9.9745409439048522</v>
      </c>
    </row>
    <row r="102" spans="1:18" x14ac:dyDescent="0.25">
      <c r="A102" vm="447">
        <f ca="1"/>
        <v>45805</v>
      </c>
      <c r="B102" vm="243">
        <f ca="1"/>
        <v>10.17</v>
      </c>
      <c r="C102" vm="365">
        <f ca="1"/>
        <v>10.32</v>
      </c>
      <c r="D102" vm="448">
        <f ca="1"/>
        <v>10.335000000000001</v>
      </c>
      <c r="E102" vm="250">
        <f ca="1"/>
        <v>10.15</v>
      </c>
      <c r="F102" vm="449">
        <f ca="1"/>
        <v>102335584</v>
      </c>
      <c r="G102" s="1">
        <f t="shared" ca="1" si="15"/>
        <v>10.461428571428572</v>
      </c>
      <c r="H102" s="1">
        <f t="shared" ca="1" si="18"/>
        <v>10.432499999999997</v>
      </c>
      <c r="I102" s="1">
        <f t="shared" ca="1" si="17"/>
        <v>10.034800000000001</v>
      </c>
      <c r="J102">
        <f t="shared" ca="1" si="13"/>
        <v>0.1850000000000005</v>
      </c>
      <c r="K102" s="1">
        <f t="shared" ca="1" si="19"/>
        <v>0.22918500000000011</v>
      </c>
      <c r="L102" s="2">
        <f t="shared" ca="1" si="14"/>
        <v>7.0830657134132835E-2</v>
      </c>
      <c r="M102">
        <f t="shared" ca="1" si="16"/>
        <v>2.0180925156434413E-2</v>
      </c>
      <c r="N102">
        <f t="shared" ca="1" si="20"/>
        <v>93286524.349999994</v>
      </c>
      <c r="O102">
        <f t="shared" ca="1" si="21"/>
        <v>10.432499999999997</v>
      </c>
      <c r="P102">
        <f t="shared" ca="1" si="22"/>
        <v>0.22722293712980399</v>
      </c>
      <c r="Q102">
        <f t="shared" ca="1" si="23"/>
        <v>10.886945874259606</v>
      </c>
      <c r="R102">
        <f t="shared" ca="1" si="24"/>
        <v>9.978054125740389</v>
      </c>
    </row>
    <row r="103" spans="1:18" x14ac:dyDescent="0.25">
      <c r="A103" vm="450">
        <f ca="1"/>
        <v>45806</v>
      </c>
      <c r="B103" vm="451">
        <f ca="1"/>
        <v>10.220000000000001</v>
      </c>
      <c r="C103" vm="445">
        <f ca="1"/>
        <v>10.210000000000001</v>
      </c>
      <c r="D103" vm="244">
        <f ca="1"/>
        <v>10.28</v>
      </c>
      <c r="E103" vm="282">
        <f ca="1"/>
        <v>10.11</v>
      </c>
      <c r="F103" vm="452">
        <f ca="1"/>
        <v>101688883</v>
      </c>
      <c r="G103" s="1">
        <f t="shared" ca="1" si="15"/>
        <v>10.385714285714286</v>
      </c>
      <c r="H103" s="1">
        <f t="shared" ca="1" si="18"/>
        <v>10.442999999999998</v>
      </c>
      <c r="I103" s="1">
        <f t="shared" ca="1" si="17"/>
        <v>10.040200000000002</v>
      </c>
      <c r="J103">
        <f t="shared" ca="1" si="13"/>
        <v>0.16999999999999993</v>
      </c>
      <c r="K103" s="1">
        <f t="shared" ca="1" si="19"/>
        <v>0.22418500000000002</v>
      </c>
      <c r="L103" s="2">
        <f t="shared" ca="1" si="14"/>
        <v>7.6095311299000823E-2</v>
      </c>
      <c r="M103">
        <f t="shared" ca="1" si="16"/>
        <v>2.0803644458355083E-2</v>
      </c>
      <c r="N103">
        <f t="shared" ca="1" si="20"/>
        <v>91550656.75</v>
      </c>
      <c r="O103">
        <f t="shared" ca="1" si="21"/>
        <v>10.442999999999998</v>
      </c>
      <c r="P103">
        <f t="shared" ca="1" si="22"/>
        <v>0.21094025095672067</v>
      </c>
      <c r="Q103">
        <f t="shared" ca="1" si="23"/>
        <v>10.86488050191344</v>
      </c>
      <c r="R103">
        <f t="shared" ca="1" si="24"/>
        <v>10.021119498086556</v>
      </c>
    </row>
    <row r="104" spans="1:18" x14ac:dyDescent="0.25">
      <c r="A104" vm="453">
        <f ca="1"/>
        <v>45807</v>
      </c>
      <c r="B104" vm="454">
        <f ca="1"/>
        <v>10.38</v>
      </c>
      <c r="C104" vm="353">
        <f ca="1"/>
        <v>10.18</v>
      </c>
      <c r="D104" vm="382">
        <f ca="1"/>
        <v>10.46</v>
      </c>
      <c r="E104" vm="256">
        <f ca="1"/>
        <v>10.119999999999999</v>
      </c>
      <c r="F104" vm="455">
        <f ca="1"/>
        <v>152191621</v>
      </c>
      <c r="G104" s="1">
        <f t="shared" ca="1" si="15"/>
        <v>10.337142857142856</v>
      </c>
      <c r="H104" s="1">
        <f t="shared" ca="1" si="18"/>
        <v>10.452999999999999</v>
      </c>
      <c r="I104" s="1">
        <f t="shared" ca="1" si="17"/>
        <v>10.044400000000001</v>
      </c>
      <c r="J104">
        <f t="shared" ca="1" si="13"/>
        <v>0.34000000000000163</v>
      </c>
      <c r="K104" s="1">
        <f t="shared" ca="1" si="19"/>
        <v>0.22618500000000008</v>
      </c>
      <c r="L104" s="2">
        <f t="shared" ca="1" si="14"/>
        <v>9.2942204626578206E-2</v>
      </c>
      <c r="M104">
        <f t="shared" ca="1" si="16"/>
        <v>2.1011289031299743E-2</v>
      </c>
      <c r="N104">
        <f t="shared" ca="1" si="20"/>
        <v>92833613.5</v>
      </c>
      <c r="O104">
        <f t="shared" ca="1" si="21"/>
        <v>10.452999999999999</v>
      </c>
      <c r="P104">
        <f t="shared" ca="1" si="22"/>
        <v>0.20238316967678197</v>
      </c>
      <c r="Q104">
        <f t="shared" ca="1" si="23"/>
        <v>10.857766339353564</v>
      </c>
      <c r="R104">
        <f t="shared" ca="1" si="24"/>
        <v>10.048233660646435</v>
      </c>
    </row>
    <row r="105" spans="1:18" x14ac:dyDescent="0.25">
      <c r="A105" vm="456">
        <f ca="1"/>
        <v>45810</v>
      </c>
      <c r="B105" vm="236">
        <f ca="1"/>
        <v>9.98</v>
      </c>
      <c r="C105" vm="268">
        <f ca="1"/>
        <v>10.27</v>
      </c>
      <c r="D105" vm="244">
        <f ca="1"/>
        <v>10.28</v>
      </c>
      <c r="E105" vm="240">
        <f ca="1"/>
        <v>9.8800000000000008</v>
      </c>
      <c r="F105" vm="457">
        <f ca="1"/>
        <v>170340783</v>
      </c>
      <c r="G105" s="1">
        <f t="shared" ca="1" si="15"/>
        <v>10.265714285714285</v>
      </c>
      <c r="H105" s="1">
        <f t="shared" ca="1" si="18"/>
        <v>10.437999999999999</v>
      </c>
      <c r="I105" s="1">
        <f t="shared" ca="1" si="17"/>
        <v>10.043800000000001</v>
      </c>
      <c r="J105">
        <f t="shared" ca="1" si="13"/>
        <v>0.39999999999999858</v>
      </c>
      <c r="K105" s="1">
        <f t="shared" ca="1" si="19"/>
        <v>0.23743499999999998</v>
      </c>
      <c r="L105" s="2">
        <f t="shared" ca="1" si="14"/>
        <v>5.082497130763497E-2</v>
      </c>
      <c r="M105">
        <f t="shared" ca="1" si="16"/>
        <v>2.5433327550901854E-2</v>
      </c>
      <c r="N105">
        <f t="shared" ca="1" si="20"/>
        <v>97239219.900000006</v>
      </c>
      <c r="O105">
        <f t="shared" ca="1" si="21"/>
        <v>10.437999999999999</v>
      </c>
      <c r="P105">
        <f t="shared" ca="1" si="22"/>
        <v>0.22565926806395065</v>
      </c>
      <c r="Q105">
        <f t="shared" ca="1" si="23"/>
        <v>10.889318536127901</v>
      </c>
      <c r="R105">
        <f t="shared" ca="1" si="24"/>
        <v>9.9866814638720971</v>
      </c>
    </row>
    <row r="106" spans="1:18" x14ac:dyDescent="0.25">
      <c r="A106" vm="458">
        <f ca="1"/>
        <v>45811</v>
      </c>
      <c r="B106" vm="357">
        <f ca="1"/>
        <v>10.19</v>
      </c>
      <c r="C106" vm="349">
        <f ca="1"/>
        <v>9.9700000000000006</v>
      </c>
      <c r="D106" vm="459">
        <f ca="1"/>
        <v>10.225</v>
      </c>
      <c r="E106" vm="277">
        <f ca="1"/>
        <v>9.89</v>
      </c>
      <c r="F106" vm="460">
        <f ca="1"/>
        <v>121584328</v>
      </c>
      <c r="G106" s="1">
        <f t="shared" ca="1" si="15"/>
        <v>10.23</v>
      </c>
      <c r="H106" s="1">
        <f t="shared" ca="1" si="18"/>
        <v>10.439</v>
      </c>
      <c r="I106" s="1">
        <f t="shared" ca="1" si="17"/>
        <v>10.047600000000003</v>
      </c>
      <c r="J106">
        <f t="shared" ca="1" si="13"/>
        <v>0.33499999999999908</v>
      </c>
      <c r="K106" s="1">
        <f t="shared" ca="1" si="19"/>
        <v>0.24693499999999996</v>
      </c>
      <c r="L106" s="2">
        <f t="shared" ca="1" si="14"/>
        <v>7.2936518800080119E-2</v>
      </c>
      <c r="M106">
        <f t="shared" ca="1" si="16"/>
        <v>2.6219060767763629E-2</v>
      </c>
      <c r="N106">
        <f t="shared" ca="1" si="20"/>
        <v>98030123.349999994</v>
      </c>
      <c r="O106">
        <f t="shared" ca="1" si="21"/>
        <v>10.439</v>
      </c>
      <c r="P106">
        <f t="shared" ca="1" si="22"/>
        <v>0.22445020547293371</v>
      </c>
      <c r="Q106">
        <f t="shared" ca="1" si="23"/>
        <v>10.887900410945868</v>
      </c>
      <c r="R106">
        <f t="shared" ca="1" si="24"/>
        <v>9.9900995890541324</v>
      </c>
    </row>
    <row r="107" spans="1:18" x14ac:dyDescent="0.25">
      <c r="A107" vm="461">
        <f ca="1"/>
        <v>45812</v>
      </c>
      <c r="B107" vm="373">
        <f ca="1"/>
        <v>10.24</v>
      </c>
      <c r="C107" vm="357">
        <f ca="1"/>
        <v>10.19</v>
      </c>
      <c r="D107" vm="462">
        <f ca="1"/>
        <v>10.365</v>
      </c>
      <c r="E107" vm="353">
        <f ca="1"/>
        <v>10.18</v>
      </c>
      <c r="F107" vm="463">
        <f ca="1"/>
        <v>123191229</v>
      </c>
      <c r="G107" s="1">
        <f t="shared" ca="1" si="15"/>
        <v>10.212857142857143</v>
      </c>
      <c r="H107" s="1">
        <f t="shared" ca="1" si="18"/>
        <v>10.428999999999998</v>
      </c>
      <c r="I107" s="1">
        <f t="shared" ca="1" si="17"/>
        <v>10.047400000000001</v>
      </c>
      <c r="J107">
        <f t="shared" ca="1" si="13"/>
        <v>0.1850000000000005</v>
      </c>
      <c r="K107" s="1">
        <f t="shared" ca="1" si="19"/>
        <v>0.227935</v>
      </c>
      <c r="L107" s="2">
        <f t="shared" ca="1" si="14"/>
        <v>7.8201172964948107E-2</v>
      </c>
      <c r="M107">
        <f t="shared" ca="1" si="16"/>
        <v>2.601036671903063E-2</v>
      </c>
      <c r="N107">
        <f t="shared" ca="1" si="20"/>
        <v>97598983.049999997</v>
      </c>
      <c r="O107">
        <f t="shared" ca="1" si="21"/>
        <v>10.428999999999998</v>
      </c>
      <c r="P107">
        <f t="shared" ca="1" si="22"/>
        <v>0.22881617535756341</v>
      </c>
      <c r="Q107">
        <f t="shared" ca="1" si="23"/>
        <v>10.886632350715125</v>
      </c>
      <c r="R107">
        <f t="shared" ca="1" si="24"/>
        <v>9.971367649284872</v>
      </c>
    </row>
    <row r="108" spans="1:18" x14ac:dyDescent="0.25">
      <c r="A108" vm="464">
        <f ca="1"/>
        <v>45813</v>
      </c>
      <c r="B108" vm="287">
        <f ca="1"/>
        <v>10.1</v>
      </c>
      <c r="C108" vm="295">
        <f ca="1"/>
        <v>10.199999999999999</v>
      </c>
      <c r="D108" vm="260">
        <f ca="1"/>
        <v>10.25</v>
      </c>
      <c r="E108" vm="280">
        <f ca="1"/>
        <v>10.029999999999999</v>
      </c>
      <c r="F108" vm="465">
        <f ca="1"/>
        <v>133269444</v>
      </c>
      <c r="G108" s="1">
        <f t="shared" ca="1" si="15"/>
        <v>10.182857142857143</v>
      </c>
      <c r="H108" s="1">
        <f t="shared" ca="1" si="18"/>
        <v>10.419999999999998</v>
      </c>
      <c r="I108" s="1">
        <f t="shared" ca="1" si="17"/>
        <v>10.043600000000003</v>
      </c>
      <c r="J108">
        <f t="shared" ca="1" si="13"/>
        <v>0.22000000000000064</v>
      </c>
      <c r="K108" s="1">
        <f t="shared" ca="1" si="19"/>
        <v>0.21968499999999996</v>
      </c>
      <c r="L108" s="2">
        <f t="shared" ca="1" si="14"/>
        <v>6.3460141303317785E-2</v>
      </c>
      <c r="M108">
        <f t="shared" ca="1" si="16"/>
        <v>2.5315514754880454E-2</v>
      </c>
      <c r="N108">
        <f t="shared" ca="1" si="20"/>
        <v>98415623.049999997</v>
      </c>
      <c r="O108">
        <f t="shared" ca="1" si="21"/>
        <v>10.419999999999998</v>
      </c>
      <c r="P108">
        <f t="shared" ca="1" si="22"/>
        <v>0.2383275057562598</v>
      </c>
      <c r="Q108">
        <f t="shared" ca="1" si="23"/>
        <v>10.896655011512518</v>
      </c>
      <c r="R108">
        <f t="shared" ca="1" si="24"/>
        <v>9.9433449884874783</v>
      </c>
    </row>
    <row r="109" spans="1:18" x14ac:dyDescent="0.25">
      <c r="A109" vm="466">
        <f ca="1"/>
        <v>45814</v>
      </c>
      <c r="B109" vm="272">
        <f ca="1"/>
        <v>10.26</v>
      </c>
      <c r="C109" vm="467">
        <f ca="1"/>
        <v>10.16</v>
      </c>
      <c r="D109" vm="265">
        <f ca="1"/>
        <v>10.35</v>
      </c>
      <c r="E109" vm="468">
        <f ca="1"/>
        <v>10.1501</v>
      </c>
      <c r="F109" vm="469">
        <f ca="1"/>
        <v>105916694</v>
      </c>
      <c r="G109" s="1">
        <f t="shared" ca="1" si="15"/>
        <v>10.195714285714287</v>
      </c>
      <c r="H109" s="1">
        <f t="shared" ca="1" si="18"/>
        <v>10.418999999999999</v>
      </c>
      <c r="I109" s="1">
        <f t="shared" ca="1" si="17"/>
        <v>10.042800000000002</v>
      </c>
      <c r="J109">
        <f t="shared" ca="1" si="13"/>
        <v>0.19989999999999952</v>
      </c>
      <c r="K109" s="1">
        <f t="shared" ca="1" si="19"/>
        <v>0.2194799999999999</v>
      </c>
      <c r="L109" s="2">
        <f t="shared" ca="1" si="14"/>
        <v>8.0307034630895169E-2</v>
      </c>
      <c r="M109">
        <f t="shared" ca="1" si="16"/>
        <v>2.2024912605505171E-2</v>
      </c>
      <c r="N109">
        <f t="shared" ca="1" si="20"/>
        <v>98352786.950000003</v>
      </c>
      <c r="O109">
        <f t="shared" ca="1" si="21"/>
        <v>10.418999999999999</v>
      </c>
      <c r="P109">
        <f t="shared" ca="1" si="22"/>
        <v>0.23898689680002397</v>
      </c>
      <c r="Q109">
        <f t="shared" ca="1" si="23"/>
        <v>10.896973793600047</v>
      </c>
      <c r="R109">
        <f t="shared" ca="1" si="24"/>
        <v>9.9410262063999504</v>
      </c>
    </row>
    <row r="110" spans="1:18" x14ac:dyDescent="0.25">
      <c r="A110" vm="470">
        <f ca="1"/>
        <v>45817</v>
      </c>
      <c r="B110" vm="386">
        <f ca="1"/>
        <v>10.34</v>
      </c>
      <c r="C110" vm="263">
        <f ca="1"/>
        <v>10.29</v>
      </c>
      <c r="D110" vm="433">
        <f ca="1"/>
        <v>10.45</v>
      </c>
      <c r="E110" vm="263">
        <f ca="1"/>
        <v>10.29</v>
      </c>
      <c r="F110" vm="471">
        <f ca="1"/>
        <v>63638928</v>
      </c>
      <c r="G110" s="1">
        <f t="shared" ca="1" si="15"/>
        <v>10.212857142857143</v>
      </c>
      <c r="H110" s="1">
        <f t="shared" ca="1" si="18"/>
        <v>10.4145</v>
      </c>
      <c r="I110" s="1">
        <f t="shared" ca="1" si="17"/>
        <v>10.051600000000002</v>
      </c>
      <c r="J110">
        <f t="shared" ca="1" si="13"/>
        <v>0.16000000000000014</v>
      </c>
      <c r="K110" s="1">
        <f t="shared" ca="1" si="19"/>
        <v>0.22047999999999987</v>
      </c>
      <c r="L110" s="2">
        <f t="shared" ca="1" si="14"/>
        <v>8.8730481294683861E-2</v>
      </c>
      <c r="M110">
        <f t="shared" ca="1" si="16"/>
        <v>1.8304323059208826E-2</v>
      </c>
      <c r="N110">
        <f t="shared" ca="1" si="20"/>
        <v>97717198.299999997</v>
      </c>
      <c r="O110">
        <f t="shared" ca="1" si="21"/>
        <v>10.4145</v>
      </c>
      <c r="P110">
        <f t="shared" ca="1" si="22"/>
        <v>0.23961537161832819</v>
      </c>
      <c r="Q110">
        <f t="shared" ca="1" si="23"/>
        <v>10.893730743236656</v>
      </c>
      <c r="R110">
        <f t="shared" ca="1" si="24"/>
        <v>9.9352692567633447</v>
      </c>
    </row>
    <row r="111" spans="1:18" x14ac:dyDescent="0.25">
      <c r="A111" vm="472">
        <f ca="1"/>
        <v>45818</v>
      </c>
      <c r="B111" vm="401">
        <f ca="1"/>
        <v>10.6</v>
      </c>
      <c r="C111" vm="454">
        <f ca="1"/>
        <v>10.38</v>
      </c>
      <c r="D111" vm="407">
        <f ca="1"/>
        <v>10.65</v>
      </c>
      <c r="E111" vm="439">
        <f ca="1"/>
        <v>10.36</v>
      </c>
      <c r="F111" vm="473">
        <f ca="1"/>
        <v>87955501</v>
      </c>
      <c r="G111" s="1">
        <f t="shared" ca="1" si="15"/>
        <v>10.244285714285713</v>
      </c>
      <c r="H111" s="1">
        <f t="shared" ca="1" si="18"/>
        <v>10.416999999999998</v>
      </c>
      <c r="I111" s="1">
        <f t="shared" ca="1" si="17"/>
        <v>10.069200000000002</v>
      </c>
      <c r="J111">
        <f t="shared" ca="1" si="13"/>
        <v>0.29000000000000092</v>
      </c>
      <c r="K111" s="1">
        <f t="shared" ca="1" si="19"/>
        <v>0.22247999999999993</v>
      </c>
      <c r="L111" s="2">
        <f t="shared" ca="1" si="14"/>
        <v>0.116106682951997</v>
      </c>
      <c r="M111">
        <f t="shared" ca="1" si="16"/>
        <v>1.6299619435073569E-2</v>
      </c>
      <c r="N111">
        <f t="shared" ca="1" si="20"/>
        <v>97013185.150000006</v>
      </c>
      <c r="O111">
        <f t="shared" ca="1" si="21"/>
        <v>10.416999999999998</v>
      </c>
      <c r="P111">
        <f t="shared" ca="1" si="22"/>
        <v>0.24135800009638453</v>
      </c>
      <c r="Q111">
        <f t="shared" ca="1" si="23"/>
        <v>10.899716000192766</v>
      </c>
      <c r="R111">
        <f t="shared" ca="1" si="24"/>
        <v>9.9342839998072296</v>
      </c>
    </row>
    <row r="112" spans="1:18" x14ac:dyDescent="0.25">
      <c r="A112" vm="474">
        <f ca="1"/>
        <v>45819</v>
      </c>
      <c r="B112" vm="430">
        <f ca="1"/>
        <v>10.66</v>
      </c>
      <c r="C112" vm="420">
        <f ca="1"/>
        <v>10.64</v>
      </c>
      <c r="D112" vm="418">
        <f ca="1"/>
        <v>10.77</v>
      </c>
      <c r="E112" vm="475">
        <f ca="1"/>
        <v>10.610099999999999</v>
      </c>
      <c r="F112" vm="476">
        <f ca="1"/>
        <v>93094876</v>
      </c>
      <c r="G112" s="1">
        <f t="shared" ca="1" si="15"/>
        <v>10.341428571428571</v>
      </c>
      <c r="H112" s="1">
        <f t="shared" ca="1" si="18"/>
        <v>10.419999999999998</v>
      </c>
      <c r="I112" s="1">
        <f t="shared" ca="1" si="17"/>
        <v>10.081800000000005</v>
      </c>
      <c r="J112">
        <f t="shared" ca="1" si="13"/>
        <v>0.15990000000000038</v>
      </c>
      <c r="K112" s="1">
        <f t="shared" ca="1" si="19"/>
        <v>0.21997499999999989</v>
      </c>
      <c r="L112" s="2">
        <f t="shared" ca="1" si="14"/>
        <v>0.12242426794983841</v>
      </c>
      <c r="M112">
        <f t="shared" ca="1" si="16"/>
        <v>1.8532809655298146E-2</v>
      </c>
      <c r="N112">
        <f t="shared" ca="1" si="20"/>
        <v>97484378.349999994</v>
      </c>
      <c r="O112">
        <f t="shared" ca="1" si="21"/>
        <v>10.419999999999998</v>
      </c>
      <c r="P112">
        <f t="shared" ca="1" si="22"/>
        <v>0.24410955262793499</v>
      </c>
      <c r="Q112">
        <f t="shared" ca="1" si="23"/>
        <v>10.908219105255869</v>
      </c>
      <c r="R112">
        <f t="shared" ca="1" si="24"/>
        <v>9.9317808947441275</v>
      </c>
    </row>
    <row r="113" spans="1:18" x14ac:dyDescent="0.25">
      <c r="A113" vm="477">
        <f ca="1"/>
        <v>45820</v>
      </c>
      <c r="B113" vm="478">
        <f ca="1"/>
        <v>10.53</v>
      </c>
      <c r="C113" vm="479">
        <f ca="1"/>
        <v>10.58</v>
      </c>
      <c r="D113" vm="413">
        <f ca="1"/>
        <v>10.59</v>
      </c>
      <c r="E113" vm="390">
        <f ca="1"/>
        <v>10.43</v>
      </c>
      <c r="F113" vm="480">
        <f ca="1"/>
        <v>76393291</v>
      </c>
      <c r="G113" s="1">
        <f t="shared" ca="1" si="15"/>
        <v>10.39</v>
      </c>
      <c r="H113" s="1">
        <f t="shared" ca="1" si="18"/>
        <v>10.414</v>
      </c>
      <c r="I113" s="1">
        <f t="shared" ca="1" si="17"/>
        <v>10.093600000000002</v>
      </c>
      <c r="J113">
        <f t="shared" ca="1" si="13"/>
        <v>0.16000000000000014</v>
      </c>
      <c r="K113" s="1">
        <f t="shared" ca="1" si="19"/>
        <v>0.21697499999999997</v>
      </c>
      <c r="L113" s="2">
        <f t="shared" ca="1" si="14"/>
        <v>0.10873616712118195</v>
      </c>
      <c r="M113">
        <f t="shared" ca="1" si="16"/>
        <v>1.9205939991101623E-2</v>
      </c>
      <c r="N113">
        <f t="shared" ca="1" si="20"/>
        <v>97081388.450000003</v>
      </c>
      <c r="O113">
        <f t="shared" ca="1" si="21"/>
        <v>10.414</v>
      </c>
      <c r="P113">
        <f t="shared" ca="1" si="22"/>
        <v>0.23959175805172392</v>
      </c>
      <c r="Q113">
        <f t="shared" ca="1" si="23"/>
        <v>10.893183516103447</v>
      </c>
      <c r="R113">
        <f t="shared" ca="1" si="24"/>
        <v>9.9348164838965527</v>
      </c>
    </row>
    <row r="114" spans="1:18" x14ac:dyDescent="0.25">
      <c r="A114" vm="481">
        <f ca="1"/>
        <v>45821</v>
      </c>
      <c r="B114" vm="390">
        <f ca="1"/>
        <v>10.43</v>
      </c>
      <c r="C114" vm="482">
        <f ca="1"/>
        <v>10.47</v>
      </c>
      <c r="D114" vm="483">
        <f ca="1"/>
        <v>10.51</v>
      </c>
      <c r="E114" vm="454">
        <f ca="1"/>
        <v>10.38</v>
      </c>
      <c r="F114" vm="484">
        <f ca="1"/>
        <v>90106172</v>
      </c>
      <c r="G114" s="1">
        <f t="shared" ca="1" si="15"/>
        <v>10.417142857142855</v>
      </c>
      <c r="H114" s="1">
        <f t="shared" ca="1" si="18"/>
        <v>10.398</v>
      </c>
      <c r="I114" s="1">
        <f t="shared" ca="1" si="17"/>
        <v>10.099200000000003</v>
      </c>
      <c r="J114">
        <f t="shared" ca="1" si="13"/>
        <v>0.12999999999999901</v>
      </c>
      <c r="K114" s="1">
        <f t="shared" ca="1" si="19"/>
        <v>0.21197499999999997</v>
      </c>
      <c r="L114" s="2">
        <f t="shared" ca="1" si="14"/>
        <v>9.8206858791445972E-2</v>
      </c>
      <c r="M114">
        <f t="shared" ca="1" si="16"/>
        <v>1.9442597652802592E-2</v>
      </c>
      <c r="N114">
        <f t="shared" ca="1" si="20"/>
        <v>98031870.650000006</v>
      </c>
      <c r="O114">
        <f t="shared" ca="1" si="21"/>
        <v>10.398</v>
      </c>
      <c r="P114">
        <f t="shared" ca="1" si="22"/>
        <v>0.22628812560422545</v>
      </c>
      <c r="Q114">
        <f t="shared" ca="1" si="23"/>
        <v>10.85057625120845</v>
      </c>
      <c r="R114">
        <f t="shared" ca="1" si="24"/>
        <v>9.9454237487915496</v>
      </c>
    </row>
    <row r="115" spans="1:18" x14ac:dyDescent="0.25">
      <c r="A115" vm="485">
        <f ca="1"/>
        <v>45824</v>
      </c>
      <c r="B115" vm="378">
        <f ca="1"/>
        <v>10.62</v>
      </c>
      <c r="C115" vm="436">
        <f ca="1"/>
        <v>10.5</v>
      </c>
      <c r="D115" vm="486">
        <f ca="1"/>
        <v>10.67</v>
      </c>
      <c r="E115" vm="436">
        <f ca="1"/>
        <v>10.5</v>
      </c>
      <c r="F115" vm="487">
        <f ca="1"/>
        <v>75195179</v>
      </c>
      <c r="G115" s="1">
        <f t="shared" ca="1" si="15"/>
        <v>10.491428571428571</v>
      </c>
      <c r="H115" s="1">
        <f t="shared" ca="1" si="18"/>
        <v>10.388999999999999</v>
      </c>
      <c r="I115" s="1">
        <f t="shared" ca="1" si="17"/>
        <v>10.120800000000003</v>
      </c>
      <c r="J115">
        <f t="shared" ca="1" si="13"/>
        <v>0.16999999999999993</v>
      </c>
      <c r="K115" s="1">
        <f t="shared" ca="1" si="19"/>
        <v>0.21197499999999997</v>
      </c>
      <c r="L115" s="2">
        <f t="shared" ca="1" si="14"/>
        <v>0.11821254461794406</v>
      </c>
      <c r="M115">
        <f t="shared" ca="1" si="16"/>
        <v>2.1124054560309368E-2</v>
      </c>
      <c r="N115">
        <f t="shared" ca="1" si="20"/>
        <v>98545979.349999994</v>
      </c>
      <c r="O115">
        <f t="shared" ca="1" si="21"/>
        <v>10.388999999999999</v>
      </c>
      <c r="P115">
        <f t="shared" ca="1" si="22"/>
        <v>0.21262519531845353</v>
      </c>
      <c r="Q115">
        <f t="shared" ca="1" si="23"/>
        <v>10.814250390636907</v>
      </c>
      <c r="R115">
        <f t="shared" ca="1" si="24"/>
        <v>9.9637496093630915</v>
      </c>
    </row>
    <row r="116" spans="1:18" x14ac:dyDescent="0.25">
      <c r="A116" vm="488">
        <f ca="1"/>
        <v>45825</v>
      </c>
      <c r="B116" vm="404">
        <f ca="1"/>
        <v>10.42</v>
      </c>
      <c r="C116" vm="413">
        <f ca="1"/>
        <v>10.59</v>
      </c>
      <c r="D116" vm="403">
        <f ca="1"/>
        <v>10.63</v>
      </c>
      <c r="E116" vm="454">
        <f ca="1"/>
        <v>10.38</v>
      </c>
      <c r="F116" vm="489">
        <f ca="1"/>
        <v>100969375</v>
      </c>
      <c r="G116" s="1">
        <f t="shared" ca="1" si="15"/>
        <v>10.514285714285714</v>
      </c>
      <c r="H116" s="1">
        <f t="shared" ca="1" si="18"/>
        <v>10.372499999999999</v>
      </c>
      <c r="I116" s="1">
        <f t="shared" ref="I116:I147" ca="1" si="25">AVERAGE(B67:B116)</f>
        <v>10.137600000000003</v>
      </c>
      <c r="J116">
        <f t="shared" ca="1" si="13"/>
        <v>0.25</v>
      </c>
      <c r="K116" s="1">
        <f t="shared" ca="1" si="19"/>
        <v>0.216725</v>
      </c>
      <c r="L116" s="2">
        <f t="shared" ca="1" si="14"/>
        <v>9.7153927958472552E-2</v>
      </c>
      <c r="M116">
        <f t="shared" ca="1" si="16"/>
        <v>2.0639861627949684E-2</v>
      </c>
      <c r="N116">
        <f t="shared" ca="1" si="20"/>
        <v>100584661.40000001</v>
      </c>
      <c r="O116">
        <f t="shared" ca="1" si="21"/>
        <v>10.372499999999999</v>
      </c>
      <c r="P116">
        <f t="shared" ca="1" si="22"/>
        <v>0.19522928490421332</v>
      </c>
      <c r="Q116">
        <f t="shared" ca="1" si="23"/>
        <v>10.762958569808426</v>
      </c>
      <c r="R116">
        <f t="shared" ca="1" si="24"/>
        <v>9.9820414301915719</v>
      </c>
    </row>
    <row r="117" spans="1:18" x14ac:dyDescent="0.25">
      <c r="A117" vm="490">
        <f ca="1"/>
        <v>45826</v>
      </c>
      <c r="B117" vm="390">
        <f ca="1"/>
        <v>10.43</v>
      </c>
      <c r="C117" vm="390">
        <f ca="1"/>
        <v>10.43</v>
      </c>
      <c r="D117" vm="478">
        <f ca="1"/>
        <v>10.53</v>
      </c>
      <c r="E117" vm="491">
        <f ca="1"/>
        <v>10.395</v>
      </c>
      <c r="F117" vm="492">
        <f ca="1"/>
        <v>82770168</v>
      </c>
      <c r="G117" s="1">
        <f t="shared" ca="1" si="15"/>
        <v>10.527142857142858</v>
      </c>
      <c r="H117" s="1">
        <f t="shared" ca="1" si="18"/>
        <v>10.358000000000001</v>
      </c>
      <c r="I117" s="1">
        <f t="shared" ca="1" si="25"/>
        <v>10.161400000000004</v>
      </c>
      <c r="J117">
        <f t="shared" ca="1" si="13"/>
        <v>0.13499999999999979</v>
      </c>
      <c r="K117" s="1">
        <f t="shared" ca="1" si="19"/>
        <v>0.21447500000000003</v>
      </c>
      <c r="L117" s="2">
        <f t="shared" ca="1" si="14"/>
        <v>9.8206858791445972E-2</v>
      </c>
      <c r="M117">
        <f t="shared" ca="1" si="16"/>
        <v>2.0335472098204684E-2</v>
      </c>
      <c r="N117">
        <f t="shared" ca="1" si="20"/>
        <v>101669978.40000001</v>
      </c>
      <c r="O117">
        <f t="shared" ca="1" si="21"/>
        <v>10.358000000000001</v>
      </c>
      <c r="P117">
        <f t="shared" ca="1" si="22"/>
        <v>0.17807745210264092</v>
      </c>
      <c r="Q117">
        <f t="shared" ca="1" si="23"/>
        <v>10.714154904205282</v>
      </c>
      <c r="R117">
        <f t="shared" ca="1" si="24"/>
        <v>10.001845095794719</v>
      </c>
    </row>
    <row r="118" spans="1:18" x14ac:dyDescent="0.25">
      <c r="A118" vm="493">
        <f ca="1"/>
        <v>45828</v>
      </c>
      <c r="B118" vm="413">
        <f ca="1"/>
        <v>10.59</v>
      </c>
      <c r="C118" vm="392">
        <f ca="1"/>
        <v>10.49</v>
      </c>
      <c r="D118" vm="401">
        <f ca="1"/>
        <v>10.6</v>
      </c>
      <c r="E118" vm="382">
        <f ca="1"/>
        <v>10.46</v>
      </c>
      <c r="F118" vm="494">
        <f ca="1"/>
        <v>116743402</v>
      </c>
      <c r="G118" s="1">
        <f t="shared" ca="1" si="15"/>
        <v>10.525714285714285</v>
      </c>
      <c r="H118" s="1">
        <f t="shared" ref="H118:H149" ca="1" si="26">AVERAGE(B99:B118)</f>
        <v>10.3635</v>
      </c>
      <c r="I118" s="1">
        <f t="shared" ca="1" si="25"/>
        <v>10.199400000000002</v>
      </c>
      <c r="J118">
        <f t="shared" ca="1" si="13"/>
        <v>0.13999999999999879</v>
      </c>
      <c r="K118" s="1">
        <f t="shared" ca="1" si="19"/>
        <v>0.20947499999999994</v>
      </c>
      <c r="L118" s="2">
        <f t="shared" ca="1" si="14"/>
        <v>0.11505375211902336</v>
      </c>
      <c r="M118">
        <f t="shared" ca="1" si="16"/>
        <v>2.1196363323468095E-2</v>
      </c>
      <c r="N118">
        <f t="shared" ca="1" si="20"/>
        <v>103052623.59999999</v>
      </c>
      <c r="O118">
        <f t="shared" ca="1" si="21"/>
        <v>10.3635</v>
      </c>
      <c r="P118">
        <f t="shared" ca="1" si="22"/>
        <v>0.18365514021207177</v>
      </c>
      <c r="Q118">
        <f t="shared" ca="1" si="23"/>
        <v>10.730810280424144</v>
      </c>
      <c r="R118">
        <f t="shared" ca="1" si="24"/>
        <v>9.996189719575856</v>
      </c>
    </row>
    <row r="119" spans="1:18" x14ac:dyDescent="0.25">
      <c r="A119" vm="495">
        <f ca="1"/>
        <v>45831</v>
      </c>
      <c r="B119" vm="412">
        <f ca="1"/>
        <v>10.75</v>
      </c>
      <c r="C119" vm="395">
        <f ca="1"/>
        <v>10.55</v>
      </c>
      <c r="D119" vm="412">
        <f ca="1"/>
        <v>10.75</v>
      </c>
      <c r="E119" vm="496">
        <f ca="1"/>
        <v>10.535</v>
      </c>
      <c r="F119" vm="497">
        <f ca="1"/>
        <v>77576511</v>
      </c>
      <c r="G119" s="1">
        <f t="shared" ca="1" si="15"/>
        <v>10.538571428571428</v>
      </c>
      <c r="H119" s="1">
        <f t="shared" ca="1" si="26"/>
        <v>10.379000000000001</v>
      </c>
      <c r="I119" s="1">
        <f t="shared" ca="1" si="25"/>
        <v>10.224400000000003</v>
      </c>
      <c r="J119">
        <f t="shared" ca="1" si="13"/>
        <v>0.21499999999999986</v>
      </c>
      <c r="K119" s="1">
        <f t="shared" ca="1" si="19"/>
        <v>0.21222499999999994</v>
      </c>
      <c r="L119" s="2">
        <f t="shared" ca="1" si="14"/>
        <v>0.13190064544660074</v>
      </c>
      <c r="M119">
        <f t="shared" ca="1" si="16"/>
        <v>1.9782774291699723E-2</v>
      </c>
      <c r="N119">
        <f t="shared" ca="1" si="20"/>
        <v>102227392</v>
      </c>
      <c r="O119">
        <f t="shared" ca="1" si="21"/>
        <v>10.379000000000001</v>
      </c>
      <c r="P119">
        <f t="shared" ca="1" si="22"/>
        <v>0.20255993265152275</v>
      </c>
      <c r="Q119">
        <f t="shared" ca="1" si="23"/>
        <v>10.784119865303047</v>
      </c>
      <c r="R119">
        <f t="shared" ca="1" si="24"/>
        <v>9.9738801346969552</v>
      </c>
    </row>
    <row r="120" spans="1:18" x14ac:dyDescent="0.25">
      <c r="A120" vm="498">
        <f ca="1"/>
        <v>45832</v>
      </c>
      <c r="B120" vm="397">
        <f ca="1"/>
        <v>10.73</v>
      </c>
      <c r="C120" vm="428">
        <f ca="1"/>
        <v>10.79</v>
      </c>
      <c r="D120" vm="499">
        <f ca="1"/>
        <v>10.87</v>
      </c>
      <c r="E120" vm="427">
        <f ca="1"/>
        <v>10.72</v>
      </c>
      <c r="F120" vm="500">
        <f ca="1"/>
        <v>77244413</v>
      </c>
      <c r="G120" s="1">
        <f t="shared" ca="1" si="15"/>
        <v>10.567142857142857</v>
      </c>
      <c r="H120" s="1">
        <f t="shared" ca="1" si="26"/>
        <v>10.397499999999999</v>
      </c>
      <c r="I120" s="1">
        <f t="shared" ca="1" si="25"/>
        <v>10.256200000000003</v>
      </c>
      <c r="J120">
        <f t="shared" ca="1" si="13"/>
        <v>0.14999999999999858</v>
      </c>
      <c r="K120" s="1">
        <f t="shared" ca="1" si="19"/>
        <v>0.2137249999999998</v>
      </c>
      <c r="L120" s="2">
        <f t="shared" ca="1" si="14"/>
        <v>0.12979478378065368</v>
      </c>
      <c r="M120">
        <f t="shared" ca="1" si="16"/>
        <v>1.9798208373535225E-2</v>
      </c>
      <c r="N120">
        <f t="shared" ca="1" si="20"/>
        <v>102063661.45</v>
      </c>
      <c r="O120">
        <f t="shared" ca="1" si="21"/>
        <v>10.397499999999999</v>
      </c>
      <c r="P120">
        <f t="shared" ca="1" si="22"/>
        <v>0.21710717702505702</v>
      </c>
      <c r="Q120">
        <f t="shared" ca="1" si="23"/>
        <v>10.831714354050114</v>
      </c>
      <c r="R120">
        <f t="shared" ca="1" si="24"/>
        <v>9.9632856459498846</v>
      </c>
    </row>
    <row r="121" spans="1:18" x14ac:dyDescent="0.25">
      <c r="A121" vm="501">
        <f ca="1"/>
        <v>45833</v>
      </c>
      <c r="B121" vm="398">
        <f ca="1"/>
        <v>10.48</v>
      </c>
      <c r="C121" vm="502">
        <f ca="1"/>
        <v>10.76</v>
      </c>
      <c r="D121" vm="503">
        <f ca="1"/>
        <v>10.765000000000001</v>
      </c>
      <c r="E121" vm="404">
        <f ca="1"/>
        <v>10.42</v>
      </c>
      <c r="F121" vm="504">
        <f ca="1"/>
        <v>91927326</v>
      </c>
      <c r="G121" s="1">
        <f t="shared" ca="1" si="15"/>
        <v>10.574285714285717</v>
      </c>
      <c r="H121" s="1">
        <f t="shared" ca="1" si="26"/>
        <v>10.405999999999999</v>
      </c>
      <c r="I121" s="1">
        <f t="shared" ca="1" si="25"/>
        <v>10.279200000000003</v>
      </c>
      <c r="J121">
        <f t="shared" ca="1" si="13"/>
        <v>0.34500000000000064</v>
      </c>
      <c r="K121" s="1">
        <f t="shared" ca="1" si="19"/>
        <v>0.21698999999999993</v>
      </c>
      <c r="L121" s="2">
        <f t="shared" ca="1" si="14"/>
        <v>0.10347151295631396</v>
      </c>
      <c r="M121">
        <f t="shared" ca="1" si="16"/>
        <v>1.8537539845765401E-2</v>
      </c>
      <c r="N121">
        <f t="shared" ca="1" si="20"/>
        <v>102206685.40000001</v>
      </c>
      <c r="O121">
        <f t="shared" ca="1" si="21"/>
        <v>10.405999999999999</v>
      </c>
      <c r="P121">
        <f t="shared" ca="1" si="22"/>
        <v>0.21682881921484801</v>
      </c>
      <c r="Q121">
        <f t="shared" ca="1" si="23"/>
        <v>10.839657638429696</v>
      </c>
      <c r="R121">
        <f t="shared" ca="1" si="24"/>
        <v>9.972342361570302</v>
      </c>
    </row>
    <row r="122" spans="1:18" x14ac:dyDescent="0.25">
      <c r="A122" vm="505">
        <f ca="1"/>
        <v>45834</v>
      </c>
      <c r="B122" vm="403">
        <f ca="1"/>
        <v>10.63</v>
      </c>
      <c r="C122" vm="506">
        <f ca="1"/>
        <v>10.4999</v>
      </c>
      <c r="D122" vm="407">
        <f ca="1"/>
        <v>10.65</v>
      </c>
      <c r="E122" vm="482">
        <f ca="1"/>
        <v>10.47</v>
      </c>
      <c r="F122" vm="507">
        <f ca="1"/>
        <v>88416356</v>
      </c>
      <c r="G122" s="1">
        <f t="shared" ca="1" si="15"/>
        <v>10.575714285714286</v>
      </c>
      <c r="H122" s="1">
        <f t="shared" ca="1" si="26"/>
        <v>10.428999999999998</v>
      </c>
      <c r="I122" s="1">
        <f t="shared" ca="1" si="25"/>
        <v>10.297600000000005</v>
      </c>
      <c r="J122">
        <f t="shared" ca="1" si="13"/>
        <v>0.17999999999999972</v>
      </c>
      <c r="K122" s="1">
        <f t="shared" ca="1" si="19"/>
        <v>0.21673999999999988</v>
      </c>
      <c r="L122" s="2">
        <f t="shared" ca="1" si="14"/>
        <v>0.1192654754509177</v>
      </c>
      <c r="M122">
        <f t="shared" ca="1" si="16"/>
        <v>1.476576093306808E-2</v>
      </c>
      <c r="N122">
        <f t="shared" ca="1" si="20"/>
        <v>101510724</v>
      </c>
      <c r="O122">
        <f t="shared" ca="1" si="21"/>
        <v>10.428999999999998</v>
      </c>
      <c r="P122">
        <f t="shared" ca="1" si="22"/>
        <v>0.21486593127122927</v>
      </c>
      <c r="Q122">
        <f t="shared" ca="1" si="23"/>
        <v>10.858731862542458</v>
      </c>
      <c r="R122">
        <f t="shared" ca="1" si="24"/>
        <v>9.9992681374575394</v>
      </c>
    </row>
    <row r="123" spans="1:18" x14ac:dyDescent="0.25">
      <c r="A123" vm="508">
        <f ca="1"/>
        <v>45835</v>
      </c>
      <c r="B123" vm="417">
        <f ca="1"/>
        <v>10.8</v>
      </c>
      <c r="C123" vm="409">
        <f ca="1"/>
        <v>10.7</v>
      </c>
      <c r="D123" vm="509">
        <f ca="1"/>
        <v>10.92</v>
      </c>
      <c r="E123" vm="510">
        <f ca="1"/>
        <v>10.68</v>
      </c>
      <c r="F123" vm="511">
        <f ca="1"/>
        <v>182008244</v>
      </c>
      <c r="G123" s="1">
        <f t="shared" ca="1" si="15"/>
        <v>10.63</v>
      </c>
      <c r="H123" s="1">
        <f t="shared" ca="1" si="26"/>
        <v>10.457999999999998</v>
      </c>
      <c r="I123" s="1">
        <f t="shared" ca="1" si="25"/>
        <v>10.324600000000002</v>
      </c>
      <c r="J123">
        <f t="shared" ca="1" si="13"/>
        <v>0.24000000000000021</v>
      </c>
      <c r="K123" s="1">
        <f t="shared" ca="1" si="19"/>
        <v>0.22023999999999991</v>
      </c>
      <c r="L123" s="2">
        <f t="shared" ca="1" si="14"/>
        <v>0.13716529961146873</v>
      </c>
      <c r="M123">
        <f t="shared" ca="1" si="16"/>
        <v>1.4088258228530824E-2</v>
      </c>
      <c r="N123">
        <f t="shared" ca="1" si="20"/>
        <v>105526692.05</v>
      </c>
      <c r="O123">
        <f t="shared" ca="1" si="21"/>
        <v>10.457999999999998</v>
      </c>
      <c r="P123">
        <f t="shared" ca="1" si="22"/>
        <v>0.22411463232250736</v>
      </c>
      <c r="Q123">
        <f t="shared" ca="1" si="23"/>
        <v>10.906229264645013</v>
      </c>
      <c r="R123">
        <f t="shared" ca="1" si="24"/>
        <v>10.009770735354984</v>
      </c>
    </row>
    <row r="124" spans="1:18" x14ac:dyDescent="0.25">
      <c r="A124" vm="512">
        <f ca="1"/>
        <v>45838</v>
      </c>
      <c r="B124" vm="513">
        <f ca="1"/>
        <v>10.85</v>
      </c>
      <c r="C124" vm="427">
        <f ca="1"/>
        <v>10.72</v>
      </c>
      <c r="D124" vm="514">
        <f ca="1"/>
        <v>10.86</v>
      </c>
      <c r="E124" vm="515">
        <f ca="1"/>
        <v>10.685</v>
      </c>
      <c r="F124" vm="516">
        <f ca="1"/>
        <v>88472231</v>
      </c>
      <c r="G124" s="1">
        <f t="shared" ca="1" si="15"/>
        <v>10.69</v>
      </c>
      <c r="H124" s="1">
        <f t="shared" ca="1" si="26"/>
        <v>10.481499999999999</v>
      </c>
      <c r="I124" s="1">
        <f t="shared" ca="1" si="25"/>
        <v>10.353600000000004</v>
      </c>
      <c r="J124">
        <f t="shared" ca="1" si="13"/>
        <v>0.17499999999999893</v>
      </c>
      <c r="K124" s="1">
        <f t="shared" ca="1" si="19"/>
        <v>0.21198999999999976</v>
      </c>
      <c r="L124" s="2">
        <f t="shared" ca="1" si="14"/>
        <v>0.14242995377633649</v>
      </c>
      <c r="M124">
        <f t="shared" ca="1" si="16"/>
        <v>1.4220732869701061E-2</v>
      </c>
      <c r="N124">
        <f t="shared" ca="1" si="20"/>
        <v>102340722.55</v>
      </c>
      <c r="O124">
        <f t="shared" ca="1" si="21"/>
        <v>10.481499999999999</v>
      </c>
      <c r="P124">
        <f t="shared" ca="1" si="22"/>
        <v>0.23961097857283506</v>
      </c>
      <c r="Q124">
        <f t="shared" ca="1" si="23"/>
        <v>10.960721957145669</v>
      </c>
      <c r="R124">
        <f t="shared" ca="1" si="24"/>
        <v>10.002278042854329</v>
      </c>
    </row>
    <row r="125" spans="1:18" x14ac:dyDescent="0.25">
      <c r="A125" vm="517">
        <f ca="1"/>
        <v>45839</v>
      </c>
      <c r="B125" vm="518">
        <f ca="1"/>
        <v>11.35</v>
      </c>
      <c r="C125" vm="419">
        <f ca="1"/>
        <v>10.81</v>
      </c>
      <c r="D125" vm="519">
        <f ca="1"/>
        <v>11.38</v>
      </c>
      <c r="E125" vm="520">
        <f ca="1"/>
        <v>10.790100000000001</v>
      </c>
      <c r="F125" vm="521">
        <f ca="1"/>
        <v>140150738</v>
      </c>
      <c r="G125" s="1">
        <f t="shared" ca="1" si="15"/>
        <v>10.798571428571426</v>
      </c>
      <c r="H125" s="1">
        <f t="shared" ca="1" si="26"/>
        <v>10.549999999999999</v>
      </c>
      <c r="I125" s="1">
        <f t="shared" ca="1" si="25"/>
        <v>10.388000000000003</v>
      </c>
      <c r="J125">
        <f t="shared" ca="1" si="13"/>
        <v>0.58990000000000009</v>
      </c>
      <c r="K125" s="1">
        <f t="shared" ca="1" si="19"/>
        <v>0.22148499999999985</v>
      </c>
      <c r="L125" s="2">
        <f t="shared" ca="1" si="14"/>
        <v>0.19507649542501571</v>
      </c>
      <c r="M125">
        <f t="shared" ca="1" si="16"/>
        <v>2.4610469851071154E-2</v>
      </c>
      <c r="N125">
        <f t="shared" ca="1" si="20"/>
        <v>100831220.3</v>
      </c>
      <c r="O125">
        <f t="shared" ca="1" si="21"/>
        <v>10.549999999999999</v>
      </c>
      <c r="P125">
        <f t="shared" ca="1" si="22"/>
        <v>0.28095701113384441</v>
      </c>
      <c r="Q125">
        <f t="shared" ca="1" si="23"/>
        <v>11.111914022267687</v>
      </c>
      <c r="R125">
        <f t="shared" ca="1" si="24"/>
        <v>9.988085977732311</v>
      </c>
    </row>
    <row r="126" spans="1:18" x14ac:dyDescent="0.25">
      <c r="A126" vm="522">
        <f ca="1"/>
        <v>45840</v>
      </c>
      <c r="B126" vm="523">
        <f ca="1"/>
        <v>11.77</v>
      </c>
      <c r="C126" vm="519">
        <f ca="1"/>
        <v>11.38</v>
      </c>
      <c r="D126" vm="524">
        <f ca="1"/>
        <v>11.78</v>
      </c>
      <c r="E126" vm="525">
        <f ca="1"/>
        <v>11.37</v>
      </c>
      <c r="F126" vm="526">
        <f ca="1"/>
        <v>122331588</v>
      </c>
      <c r="G126" s="1">
        <f t="shared" ca="1" si="15"/>
        <v>10.944285714285714</v>
      </c>
      <c r="H126" s="1">
        <f t="shared" ca="1" si="26"/>
        <v>10.629</v>
      </c>
      <c r="I126" s="1">
        <f t="shared" ca="1" si="25"/>
        <v>10.434000000000003</v>
      </c>
      <c r="J126">
        <f t="shared" ca="1" si="13"/>
        <v>0.41000000000000014</v>
      </c>
      <c r="K126" s="1">
        <f t="shared" ca="1" si="19"/>
        <v>0.22523499999999991</v>
      </c>
      <c r="L126" s="2">
        <f t="shared" ca="1" si="14"/>
        <v>0.239299590409906</v>
      </c>
      <c r="M126">
        <f t="shared" ca="1" si="16"/>
        <v>3.8831918517767523E-2</v>
      </c>
      <c r="N126">
        <f t="shared" ca="1" si="20"/>
        <v>100868583.3</v>
      </c>
      <c r="O126">
        <f t="shared" ca="1" si="21"/>
        <v>10.629</v>
      </c>
      <c r="P126">
        <f t="shared" ca="1" si="22"/>
        <v>0.37931933498667958</v>
      </c>
      <c r="Q126">
        <f t="shared" ca="1" si="23"/>
        <v>11.387638669973359</v>
      </c>
      <c r="R126">
        <f t="shared" ca="1" si="24"/>
        <v>9.8703613300266397</v>
      </c>
    </row>
    <row r="127" spans="1:18" x14ac:dyDescent="0.25">
      <c r="A127" vm="527">
        <f ca="1"/>
        <v>45841</v>
      </c>
      <c r="B127" vm="528">
        <f ca="1"/>
        <v>11.81</v>
      </c>
      <c r="C127" vm="529">
        <f ca="1"/>
        <v>11.75</v>
      </c>
      <c r="D127" vm="530">
        <f ca="1"/>
        <v>11.96</v>
      </c>
      <c r="E127" vm="529">
        <f ca="1"/>
        <v>11.75</v>
      </c>
      <c r="F127" vm="531">
        <f ca="1"/>
        <v>60311463</v>
      </c>
      <c r="G127" s="1">
        <f t="shared" ca="1" si="15"/>
        <v>11.098571428571429</v>
      </c>
      <c r="H127" s="1">
        <f t="shared" ca="1" si="26"/>
        <v>10.7075</v>
      </c>
      <c r="I127" s="1">
        <f t="shared" ca="1" si="25"/>
        <v>10.477200000000003</v>
      </c>
      <c r="J127">
        <f t="shared" ca="1" si="13"/>
        <v>0.21000000000000085</v>
      </c>
      <c r="K127" s="1">
        <f t="shared" ca="1" si="19"/>
        <v>0.22648499999999991</v>
      </c>
      <c r="L127" s="2">
        <f t="shared" ca="1" si="14"/>
        <v>0.24351131374180035</v>
      </c>
      <c r="M127">
        <f t="shared" ca="1" si="16"/>
        <v>4.7791973554340297E-2</v>
      </c>
      <c r="N127">
        <f t="shared" ca="1" si="20"/>
        <v>97724595</v>
      </c>
      <c r="O127">
        <f t="shared" ca="1" si="21"/>
        <v>10.7075</v>
      </c>
      <c r="P127">
        <f t="shared" ca="1" si="22"/>
        <v>0.45037849579402017</v>
      </c>
      <c r="Q127">
        <f t="shared" ca="1" si="23"/>
        <v>11.608256991588039</v>
      </c>
      <c r="R127">
        <f t="shared" ca="1" si="24"/>
        <v>9.80674300841196</v>
      </c>
    </row>
    <row r="128" spans="1:18" x14ac:dyDescent="0.25">
      <c r="A128" vm="532">
        <f ca="1"/>
        <v>45845</v>
      </c>
      <c r="B128" vm="533">
        <f ca="1"/>
        <v>11.59</v>
      </c>
      <c r="C128" vm="534">
        <f ca="1"/>
        <v>11.6</v>
      </c>
      <c r="D128" vm="535">
        <f ca="1"/>
        <v>11.79</v>
      </c>
      <c r="E128" vm="536">
        <f ca="1"/>
        <v>11.48</v>
      </c>
      <c r="F128" vm="537">
        <f ca="1"/>
        <v>73842100</v>
      </c>
      <c r="G128" s="1">
        <f t="shared" ca="1" si="15"/>
        <v>11.257142857142858</v>
      </c>
      <c r="H128" s="1">
        <f t="shared" ca="1" si="26"/>
        <v>10.782</v>
      </c>
      <c r="I128" s="1">
        <f t="shared" ca="1" si="25"/>
        <v>10.513400000000001</v>
      </c>
      <c r="J128">
        <f t="shared" ca="1" si="13"/>
        <v>0.30999999999999872</v>
      </c>
      <c r="K128" s="1">
        <f t="shared" ca="1" si="19"/>
        <v>0.23098499999999983</v>
      </c>
      <c r="L128" s="2">
        <f t="shared" ca="1" si="14"/>
        <v>0.22034683541638156</v>
      </c>
      <c r="M128">
        <f t="shared" ca="1" si="16"/>
        <v>5.0332979830202455E-2</v>
      </c>
      <c r="N128">
        <f t="shared" ca="1" si="20"/>
        <v>94753227.799999997</v>
      </c>
      <c r="O128">
        <f t="shared" ca="1" si="21"/>
        <v>10.782</v>
      </c>
      <c r="P128">
        <f t="shared" ca="1" si="22"/>
        <v>0.46750851385436382</v>
      </c>
      <c r="Q128">
        <f t="shared" ca="1" si="23"/>
        <v>11.717017027708728</v>
      </c>
      <c r="R128">
        <f t="shared" ca="1" si="24"/>
        <v>9.8469829722912721</v>
      </c>
    </row>
    <row r="129" spans="1:18" x14ac:dyDescent="0.25">
      <c r="A129" vm="538">
        <f ca="1"/>
        <v>45846</v>
      </c>
      <c r="B129" vm="539">
        <f ca="1"/>
        <v>11.68</v>
      </c>
      <c r="C129" vm="540">
        <f ca="1"/>
        <v>11.65</v>
      </c>
      <c r="D129" vm="541">
        <f ca="1"/>
        <v>11.85</v>
      </c>
      <c r="E129" vm="542">
        <f ca="1"/>
        <v>11.64</v>
      </c>
      <c r="F129" vm="543">
        <f ca="1"/>
        <v>74190215</v>
      </c>
      <c r="G129" s="1">
        <f t="shared" ca="1" si="15"/>
        <v>11.407142857142857</v>
      </c>
      <c r="H129" s="1">
        <f t="shared" ca="1" si="26"/>
        <v>10.853000000000002</v>
      </c>
      <c r="I129" s="1">
        <f t="shared" ca="1" si="25"/>
        <v>10.545800000000002</v>
      </c>
      <c r="J129">
        <f t="shared" ca="1" si="13"/>
        <v>0.20999999999999908</v>
      </c>
      <c r="K129" s="1">
        <f t="shared" ca="1" si="19"/>
        <v>0.23148999999999981</v>
      </c>
      <c r="L129" s="2">
        <f t="shared" ca="1" si="14"/>
        <v>0.22982321291314389</v>
      </c>
      <c r="M129">
        <f t="shared" ca="1" si="16"/>
        <v>5.3508687495507204E-2</v>
      </c>
      <c r="N129">
        <f t="shared" ca="1" si="20"/>
        <v>93166903.849999994</v>
      </c>
      <c r="O129">
        <f t="shared" ca="1" si="21"/>
        <v>10.853000000000002</v>
      </c>
      <c r="P129">
        <f t="shared" ca="1" si="22"/>
        <v>0.49128296059238719</v>
      </c>
      <c r="Q129">
        <f t="shared" ca="1" si="23"/>
        <v>11.835565921184775</v>
      </c>
      <c r="R129">
        <f t="shared" ca="1" si="24"/>
        <v>9.8704340788152276</v>
      </c>
    </row>
    <row r="130" spans="1:18" x14ac:dyDescent="0.25">
      <c r="A130" vm="544">
        <f ca="1"/>
        <v>45847</v>
      </c>
      <c r="B130" vm="545">
        <f ca="1"/>
        <v>11.83</v>
      </c>
      <c r="C130" vm="524">
        <f ca="1"/>
        <v>11.78</v>
      </c>
      <c r="D130" vm="546">
        <f ca="1"/>
        <v>11.9</v>
      </c>
      <c r="E130" vm="547">
        <f ca="1"/>
        <v>11.76</v>
      </c>
      <c r="F130" vm="548">
        <f ca="1"/>
        <v>63886882</v>
      </c>
      <c r="G130" s="1">
        <f t="shared" ca="1" si="15"/>
        <v>11.554285714285715</v>
      </c>
      <c r="H130" s="1">
        <f t="shared" ca="1" si="26"/>
        <v>10.927500000000002</v>
      </c>
      <c r="I130" s="1">
        <f t="shared" ca="1" si="25"/>
        <v>10.581600000000002</v>
      </c>
      <c r="J130">
        <f t="shared" ca="1" si="13"/>
        <v>0.14000000000000057</v>
      </c>
      <c r="K130" s="1">
        <f t="shared" ca="1" si="19"/>
        <v>0.23048999999999981</v>
      </c>
      <c r="L130" s="2">
        <f t="shared" ca="1" si="14"/>
        <v>0.24561717540774763</v>
      </c>
      <c r="M130">
        <f t="shared" ca="1" si="16"/>
        <v>5.5217848971394687E-2</v>
      </c>
      <c r="N130">
        <f t="shared" ca="1" si="20"/>
        <v>93179301.549999997</v>
      </c>
      <c r="O130">
        <f t="shared" ca="1" si="21"/>
        <v>10.927500000000002</v>
      </c>
      <c r="P130">
        <f t="shared" ca="1" si="22"/>
        <v>0.52144409802817893</v>
      </c>
      <c r="Q130">
        <f t="shared" ca="1" si="23"/>
        <v>11.97038819605636</v>
      </c>
      <c r="R130">
        <f t="shared" ca="1" si="24"/>
        <v>9.8846118039436437</v>
      </c>
    </row>
    <row r="131" spans="1:18" x14ac:dyDescent="0.25">
      <c r="A131" vm="549">
        <f ca="1"/>
        <v>45848</v>
      </c>
      <c r="B131" vm="550">
        <f ca="1"/>
        <v>11.91</v>
      </c>
      <c r="C131" vm="551">
        <f ca="1"/>
        <v>11.86</v>
      </c>
      <c r="D131" vm="552">
        <f ca="1"/>
        <v>11.97</v>
      </c>
      <c r="E131" vm="524">
        <f ca="1"/>
        <v>11.78</v>
      </c>
      <c r="F131" vm="553">
        <f ca="1"/>
        <v>67263023</v>
      </c>
      <c r="G131" s="1">
        <f t="shared" ca="1" si="15"/>
        <v>11.705714285714285</v>
      </c>
      <c r="H131" s="1">
        <f t="shared" ca="1" si="26"/>
        <v>10.993</v>
      </c>
      <c r="I131" s="1">
        <f t="shared" ca="1" si="25"/>
        <v>10.619400000000001</v>
      </c>
      <c r="J131">
        <f t="shared" ref="J131:J194" ca="1" si="27">D131-E131</f>
        <v>0.19000000000000128</v>
      </c>
      <c r="K131" s="1">
        <f t="shared" ca="1" si="19"/>
        <v>0.22548999999999983</v>
      </c>
      <c r="L131" s="2">
        <f t="shared" ref="L131:L194" ca="1" si="28">(B131/$B$3)-1</f>
        <v>0.25404062207153633</v>
      </c>
      <c r="M131">
        <f t="shared" ca="1" si="16"/>
        <v>5.5745956100143691E-2</v>
      </c>
      <c r="N131">
        <f t="shared" ca="1" si="20"/>
        <v>92144677.650000006</v>
      </c>
      <c r="O131">
        <f t="shared" ca="1" si="21"/>
        <v>10.993</v>
      </c>
      <c r="P131">
        <f t="shared" ca="1" si="22"/>
        <v>0.55906030180350996</v>
      </c>
      <c r="Q131">
        <f t="shared" ca="1" si="23"/>
        <v>12.11112060360702</v>
      </c>
      <c r="R131">
        <f t="shared" ca="1" si="24"/>
        <v>9.8748793963929806</v>
      </c>
    </row>
    <row r="132" spans="1:18" x14ac:dyDescent="0.25">
      <c r="A132" vm="554">
        <f ca="1"/>
        <v>45849</v>
      </c>
      <c r="B132" vm="524">
        <f ca="1"/>
        <v>11.78</v>
      </c>
      <c r="C132" vm="541">
        <f ca="1"/>
        <v>11.85</v>
      </c>
      <c r="D132" vm="551">
        <f ca="1"/>
        <v>11.86</v>
      </c>
      <c r="E132" vm="555">
        <f ca="1"/>
        <v>11.71</v>
      </c>
      <c r="F132" vm="556">
        <f ca="1"/>
        <v>65340737</v>
      </c>
      <c r="G132" s="1">
        <f t="shared" ca="1" si="15"/>
        <v>11.767142857142858</v>
      </c>
      <c r="H132" s="1">
        <f t="shared" ca="1" si="26"/>
        <v>11.049000000000001</v>
      </c>
      <c r="I132" s="1">
        <f t="shared" ca="1" si="25"/>
        <v>10.651999999999997</v>
      </c>
      <c r="J132">
        <f t="shared" ca="1" si="27"/>
        <v>0.14999999999999858</v>
      </c>
      <c r="K132" s="1">
        <f t="shared" ca="1" si="19"/>
        <v>0.22499499999999975</v>
      </c>
      <c r="L132" s="2">
        <f t="shared" ca="1" si="28"/>
        <v>0.24035252124287965</v>
      </c>
      <c r="M132">
        <f t="shared" ca="1" si="16"/>
        <v>5.4802175890131546E-2</v>
      </c>
      <c r="N132">
        <f t="shared" ca="1" si="20"/>
        <v>90756970.700000003</v>
      </c>
      <c r="O132">
        <f t="shared" ca="1" si="21"/>
        <v>11.049000000000001</v>
      </c>
      <c r="P132">
        <f t="shared" ca="1" si="22"/>
        <v>0.57966324161896843</v>
      </c>
      <c r="Q132">
        <f t="shared" ca="1" si="23"/>
        <v>12.208326483237938</v>
      </c>
      <c r="R132">
        <f t="shared" ca="1" si="24"/>
        <v>9.8896735167620644</v>
      </c>
    </row>
    <row r="133" spans="1:18" x14ac:dyDescent="0.25">
      <c r="A133" vm="557">
        <f ca="1"/>
        <v>45852</v>
      </c>
      <c r="B133" vm="558">
        <f ca="1"/>
        <v>11.88</v>
      </c>
      <c r="C133" vm="547">
        <f ca="1"/>
        <v>11.76</v>
      </c>
      <c r="D133" vm="559">
        <f ca="1"/>
        <v>11.895</v>
      </c>
      <c r="E133" vm="560">
        <f ca="1"/>
        <v>11.67</v>
      </c>
      <c r="F133" vm="561">
        <f ca="1"/>
        <v>62098074</v>
      </c>
      <c r="G133" s="1">
        <f t="shared" ca="1" si="15"/>
        <v>11.782857142857141</v>
      </c>
      <c r="H133" s="1">
        <f t="shared" ca="1" si="26"/>
        <v>11.1165</v>
      </c>
      <c r="I133" s="1">
        <f t="shared" ca="1" si="25"/>
        <v>10.689400000000001</v>
      </c>
      <c r="J133">
        <f t="shared" ca="1" si="27"/>
        <v>0.22499999999999964</v>
      </c>
      <c r="K133" s="1">
        <f t="shared" ca="1" si="19"/>
        <v>0.22824499999999973</v>
      </c>
      <c r="L133" s="2">
        <f t="shared" ca="1" si="28"/>
        <v>0.25088182957261562</v>
      </c>
      <c r="M133">
        <f t="shared" ca="1" si="16"/>
        <v>5.466788252858891E-2</v>
      </c>
      <c r="N133">
        <f t="shared" ca="1" si="20"/>
        <v>90042209.849999994</v>
      </c>
      <c r="O133">
        <f t="shared" ca="1" si="21"/>
        <v>11.1165</v>
      </c>
      <c r="P133">
        <f t="shared" ca="1" si="22"/>
        <v>0.59445928548998461</v>
      </c>
      <c r="Q133">
        <f t="shared" ca="1" si="23"/>
        <v>12.30541857097997</v>
      </c>
      <c r="R133">
        <f t="shared" ca="1" si="24"/>
        <v>9.9275814290200302</v>
      </c>
    </row>
    <row r="134" spans="1:18" x14ac:dyDescent="0.25">
      <c r="A134" vm="562">
        <f ca="1"/>
        <v>45853</v>
      </c>
      <c r="B134" vm="563">
        <f ca="1"/>
        <v>11.57</v>
      </c>
      <c r="C134" vm="546">
        <f ca="1"/>
        <v>11.9</v>
      </c>
      <c r="D134" vm="564">
        <f ca="1"/>
        <v>11.93</v>
      </c>
      <c r="E134" vm="565">
        <f ca="1"/>
        <v>11.524699999999999</v>
      </c>
      <c r="F134" vm="566">
        <f ca="1"/>
        <v>65101902</v>
      </c>
      <c r="G134" s="1">
        <f t="shared" ca="1" si="15"/>
        <v>11.748571428571429</v>
      </c>
      <c r="H134" s="1">
        <f t="shared" ca="1" si="26"/>
        <v>11.173500000000001</v>
      </c>
      <c r="I134" s="1">
        <f t="shared" ca="1" si="25"/>
        <v>10.717200000000002</v>
      </c>
      <c r="J134">
        <f t="shared" ca="1" si="27"/>
        <v>0.40530000000000044</v>
      </c>
      <c r="K134" s="1">
        <f t="shared" ca="1" si="19"/>
        <v>0.24200999999999978</v>
      </c>
      <c r="L134" s="2">
        <f t="shared" ca="1" si="28"/>
        <v>0.2182409737504345</v>
      </c>
      <c r="M134">
        <f t="shared" ca="1" si="16"/>
        <v>5.1619094569838E-2</v>
      </c>
      <c r="N134">
        <f t="shared" ca="1" si="20"/>
        <v>88791996.349999994</v>
      </c>
      <c r="O134">
        <f t="shared" ca="1" si="21"/>
        <v>11.173500000000001</v>
      </c>
      <c r="P134">
        <f t="shared" ca="1" si="22"/>
        <v>0.57963940696372873</v>
      </c>
      <c r="Q134">
        <f t="shared" ca="1" si="23"/>
        <v>12.332778813927458</v>
      </c>
      <c r="R134">
        <f t="shared" ca="1" si="24"/>
        <v>10.014221186072543</v>
      </c>
    </row>
    <row r="135" spans="1:18" x14ac:dyDescent="0.25">
      <c r="A135" vm="567">
        <f ca="1"/>
        <v>45854</v>
      </c>
      <c r="B135" vm="568">
        <f ca="1"/>
        <v>11.24</v>
      </c>
      <c r="C135" vm="518">
        <f ca="1"/>
        <v>11.35</v>
      </c>
      <c r="D135" vm="569">
        <f ca="1"/>
        <v>11.45</v>
      </c>
      <c r="E135" vm="570">
        <f ca="1"/>
        <v>11.15</v>
      </c>
      <c r="F135" vm="571">
        <f ca="1"/>
        <v>107978145</v>
      </c>
      <c r="G135" s="1">
        <f t="shared" ca="1" si="15"/>
        <v>11.698571428571428</v>
      </c>
      <c r="H135" s="1">
        <f t="shared" ca="1" si="26"/>
        <v>11.204499999999999</v>
      </c>
      <c r="I135" s="1">
        <f t="shared" ca="1" si="25"/>
        <v>10.736400000000001</v>
      </c>
      <c r="J135">
        <f t="shared" ca="1" si="27"/>
        <v>0.29999999999999893</v>
      </c>
      <c r="K135" s="1">
        <f t="shared" ca="1" si="19"/>
        <v>0.24850999999999973</v>
      </c>
      <c r="L135" s="2">
        <f t="shared" ca="1" si="28"/>
        <v>0.18349425626230631</v>
      </c>
      <c r="M135">
        <f t="shared" ca="1" si="16"/>
        <v>4.4198338041069228E-2</v>
      </c>
      <c r="N135">
        <f t="shared" ca="1" si="20"/>
        <v>90431144.650000006</v>
      </c>
      <c r="O135">
        <f t="shared" ca="1" si="21"/>
        <v>11.204499999999999</v>
      </c>
      <c r="P135">
        <f t="shared" ca="1" si="22"/>
        <v>0.56487050216003154</v>
      </c>
      <c r="Q135">
        <f t="shared" ca="1" si="23"/>
        <v>12.334241004320063</v>
      </c>
      <c r="R135">
        <f t="shared" ca="1" si="24"/>
        <v>10.074758995679936</v>
      </c>
    </row>
    <row r="136" spans="1:18" x14ac:dyDescent="0.25">
      <c r="A136" vm="572">
        <f ca="1"/>
        <v>45855</v>
      </c>
      <c r="B136" vm="570">
        <f ca="1"/>
        <v>11.15</v>
      </c>
      <c r="C136" vm="573">
        <f ca="1"/>
        <v>11.19</v>
      </c>
      <c r="D136" vm="574">
        <f ca="1"/>
        <v>11.346500000000001</v>
      </c>
      <c r="E136" vm="575">
        <f ca="1"/>
        <v>11.11</v>
      </c>
      <c r="F136" vm="576">
        <f ca="1"/>
        <v>70345257</v>
      </c>
      <c r="G136" s="1">
        <f t="shared" ca="1" si="15"/>
        <v>11.622857142857145</v>
      </c>
      <c r="H136" s="1">
        <f t="shared" ca="1" si="26"/>
        <v>11.241000000000001</v>
      </c>
      <c r="I136" s="1">
        <f t="shared" ca="1" si="25"/>
        <v>10.756000000000002</v>
      </c>
      <c r="J136">
        <f t="shared" ca="1" si="27"/>
        <v>0.23650000000000126</v>
      </c>
      <c r="K136" s="1">
        <f t="shared" ca="1" si="19"/>
        <v>0.24783499999999981</v>
      </c>
      <c r="L136" s="2">
        <f t="shared" ca="1" si="28"/>
        <v>0.17401787876554398</v>
      </c>
      <c r="M136">
        <f t="shared" ca="1" si="16"/>
        <v>3.8132028063721443E-2</v>
      </c>
      <c r="N136">
        <f t="shared" ca="1" si="20"/>
        <v>88899938.75</v>
      </c>
      <c r="O136">
        <f t="shared" ca="1" si="21"/>
        <v>11.241000000000001</v>
      </c>
      <c r="P136">
        <f t="shared" ca="1" si="22"/>
        <v>0.53426683654479146</v>
      </c>
      <c r="Q136">
        <f t="shared" ca="1" si="23"/>
        <v>12.309533673089584</v>
      </c>
      <c r="R136">
        <f t="shared" ca="1" si="24"/>
        <v>10.172466326910419</v>
      </c>
    </row>
    <row r="137" spans="1:18" x14ac:dyDescent="0.25">
      <c r="A137" vm="577">
        <f ca="1"/>
        <v>45856</v>
      </c>
      <c r="B137" vm="578">
        <f ca="1"/>
        <v>11.16</v>
      </c>
      <c r="C137" vm="579">
        <f ca="1"/>
        <v>11.17</v>
      </c>
      <c r="D137" vm="568">
        <f ca="1"/>
        <v>11.24</v>
      </c>
      <c r="E137" vm="580">
        <f ca="1"/>
        <v>11.05</v>
      </c>
      <c r="F137" vm="581">
        <f ca="1"/>
        <v>68812553</v>
      </c>
      <c r="G137" s="1">
        <f t="shared" ref="G137:G200" ca="1" si="29">AVERAGE(B131:B137)</f>
        <v>11.527142857142858</v>
      </c>
      <c r="H137" s="1">
        <f t="shared" ca="1" si="26"/>
        <v>11.2775</v>
      </c>
      <c r="I137" s="1">
        <f t="shared" ca="1" si="25"/>
        <v>10.770399999999997</v>
      </c>
      <c r="J137">
        <f t="shared" ca="1" si="27"/>
        <v>0.1899999999999995</v>
      </c>
      <c r="K137" s="1">
        <f t="shared" ca="1" si="19"/>
        <v>0.25058499999999978</v>
      </c>
      <c r="L137" s="2">
        <f t="shared" ca="1" si="28"/>
        <v>0.17507080959851762</v>
      </c>
      <c r="M137">
        <f t="shared" ca="1" si="16"/>
        <v>3.3788755704170684E-2</v>
      </c>
      <c r="N137">
        <f t="shared" ca="1" si="20"/>
        <v>88202058</v>
      </c>
      <c r="O137">
        <f t="shared" ca="1" si="21"/>
        <v>11.2775</v>
      </c>
      <c r="P137">
        <f t="shared" ca="1" si="22"/>
        <v>0.49976705099792024</v>
      </c>
      <c r="Q137">
        <f t="shared" ca="1" si="23"/>
        <v>12.27703410199584</v>
      </c>
      <c r="R137">
        <f t="shared" ca="1" si="24"/>
        <v>10.27796589800416</v>
      </c>
    </row>
    <row r="138" spans="1:18" x14ac:dyDescent="0.25">
      <c r="A138" vm="582">
        <f ca="1"/>
        <v>45859</v>
      </c>
      <c r="B138" vm="583">
        <f ca="1"/>
        <v>11.31</v>
      </c>
      <c r="C138" vm="584">
        <f ca="1"/>
        <v>11.26</v>
      </c>
      <c r="D138" vm="569">
        <f ca="1"/>
        <v>11.45</v>
      </c>
      <c r="E138" vm="585">
        <f ca="1"/>
        <v>11.21</v>
      </c>
      <c r="F138" vm="586">
        <f ca="1"/>
        <v>65515630</v>
      </c>
      <c r="G138" s="1">
        <f t="shared" ca="1" si="29"/>
        <v>11.441428571428572</v>
      </c>
      <c r="H138" s="1">
        <f t="shared" ca="1" si="26"/>
        <v>11.313500000000001</v>
      </c>
      <c r="I138" s="1">
        <f t="shared" ca="1" si="25"/>
        <v>10.790999999999999</v>
      </c>
      <c r="J138">
        <f t="shared" ca="1" si="27"/>
        <v>0.23999999999999844</v>
      </c>
      <c r="K138" s="1">
        <f t="shared" ca="1" si="19"/>
        <v>0.25558499999999978</v>
      </c>
      <c r="L138" s="2">
        <f t="shared" ca="1" si="28"/>
        <v>0.19086477209312136</v>
      </c>
      <c r="M138">
        <f t="shared" ca="1" si="16"/>
        <v>2.8179025724734547E-2</v>
      </c>
      <c r="N138">
        <f t="shared" ca="1" si="20"/>
        <v>85640669.400000006</v>
      </c>
      <c r="O138">
        <f t="shared" ca="1" si="21"/>
        <v>11.313500000000001</v>
      </c>
      <c r="P138">
        <f t="shared" ca="1" si="22"/>
        <v>0.47284441638372243</v>
      </c>
      <c r="Q138">
        <f t="shared" ca="1" si="23"/>
        <v>12.259188832767446</v>
      </c>
      <c r="R138">
        <f t="shared" ca="1" si="24"/>
        <v>10.367811167232556</v>
      </c>
    </row>
    <row r="139" spans="1:18" x14ac:dyDescent="0.25">
      <c r="A139" vm="587">
        <f ca="1"/>
        <v>45860</v>
      </c>
      <c r="B139" vm="573">
        <f ca="1"/>
        <v>11.19</v>
      </c>
      <c r="C139" vm="568">
        <f ca="1"/>
        <v>11.24</v>
      </c>
      <c r="D139" vm="588">
        <f ca="1"/>
        <v>11.29</v>
      </c>
      <c r="E139" vm="589">
        <f ca="1"/>
        <v>11.08</v>
      </c>
      <c r="F139" vm="590">
        <f ca="1"/>
        <v>79403755</v>
      </c>
      <c r="G139" s="1">
        <f t="shared" ca="1" si="29"/>
        <v>11.357142857142858</v>
      </c>
      <c r="H139" s="1">
        <f t="shared" ca="1" si="26"/>
        <v>11.3355</v>
      </c>
      <c r="I139" s="1">
        <f t="shared" ca="1" si="25"/>
        <v>10.809199999999999</v>
      </c>
      <c r="J139">
        <f t="shared" ca="1" si="27"/>
        <v>0.20999999999999908</v>
      </c>
      <c r="K139" s="1">
        <f t="shared" ca="1" si="19"/>
        <v>0.25533499999999976</v>
      </c>
      <c r="L139" s="2">
        <f t="shared" ca="1" si="28"/>
        <v>0.17822960209743832</v>
      </c>
      <c r="M139">
        <f t="shared" ca="1" si="16"/>
        <v>2.9487914490156173E-2</v>
      </c>
      <c r="N139">
        <f t="shared" ca="1" si="20"/>
        <v>85732031.599999994</v>
      </c>
      <c r="O139">
        <f t="shared" ca="1" si="21"/>
        <v>11.3355</v>
      </c>
      <c r="P139">
        <f t="shared" ca="1" si="22"/>
        <v>0.45515150745311389</v>
      </c>
      <c r="Q139">
        <f t="shared" ca="1" si="23"/>
        <v>12.245803014906228</v>
      </c>
      <c r="R139">
        <f t="shared" ca="1" si="24"/>
        <v>10.425196985093772</v>
      </c>
    </row>
    <row r="140" spans="1:18" x14ac:dyDescent="0.25">
      <c r="A140" vm="591">
        <f ca="1"/>
        <v>45861</v>
      </c>
      <c r="B140" vm="519">
        <f ca="1"/>
        <v>11.38</v>
      </c>
      <c r="C140" vm="592">
        <f ca="1"/>
        <v>11.28</v>
      </c>
      <c r="D140" vm="593">
        <f ca="1"/>
        <v>11.46</v>
      </c>
      <c r="E140" vm="592">
        <f ca="1"/>
        <v>11.28</v>
      </c>
      <c r="F140" vm="594">
        <f ca="1"/>
        <v>76163207</v>
      </c>
      <c r="G140" s="1">
        <f t="shared" ca="1" si="29"/>
        <v>11.285714285714286</v>
      </c>
      <c r="H140" s="1">
        <f t="shared" ca="1" si="26"/>
        <v>11.367999999999999</v>
      </c>
      <c r="I140" s="1">
        <f t="shared" ca="1" si="25"/>
        <v>10.828200000000002</v>
      </c>
      <c r="J140">
        <f t="shared" ca="1" si="27"/>
        <v>0.18000000000000149</v>
      </c>
      <c r="K140" s="1">
        <f t="shared" ca="1" si="19"/>
        <v>0.25683499999999987</v>
      </c>
      <c r="L140" s="2">
        <f t="shared" ca="1" si="28"/>
        <v>0.19823528792393641</v>
      </c>
      <c r="M140">
        <f t="shared" ca="1" si="16"/>
        <v>2.9206026733834628E-2</v>
      </c>
      <c r="N140">
        <f t="shared" ca="1" si="20"/>
        <v>85677971.299999997</v>
      </c>
      <c r="O140">
        <f t="shared" ca="1" si="21"/>
        <v>11.367999999999999</v>
      </c>
      <c r="P140">
        <f t="shared" ca="1" si="22"/>
        <v>0.43227184429294135</v>
      </c>
      <c r="Q140">
        <f t="shared" ca="1" si="23"/>
        <v>12.232543688585881</v>
      </c>
      <c r="R140">
        <f t="shared" ca="1" si="24"/>
        <v>10.503456311414116</v>
      </c>
    </row>
    <row r="141" spans="1:18" x14ac:dyDescent="0.25">
      <c r="A141" vm="595">
        <f ca="1"/>
        <v>45862</v>
      </c>
      <c r="B141" vm="584">
        <f ca="1"/>
        <v>11.26</v>
      </c>
      <c r="C141" vm="583">
        <f ca="1"/>
        <v>11.31</v>
      </c>
      <c r="D141" vm="596">
        <f ca="1"/>
        <v>11.429</v>
      </c>
      <c r="E141" vm="597">
        <f ca="1"/>
        <v>11.23</v>
      </c>
      <c r="F141" vm="598">
        <f ca="1"/>
        <v>63557796</v>
      </c>
      <c r="G141" s="1">
        <f t="shared" ca="1" si="29"/>
        <v>11.241428571428571</v>
      </c>
      <c r="H141" s="1">
        <f t="shared" ca="1" si="26"/>
        <v>11.407</v>
      </c>
      <c r="I141" s="1">
        <f t="shared" ca="1" si="25"/>
        <v>10.8424</v>
      </c>
      <c r="J141">
        <f t="shared" ca="1" si="27"/>
        <v>0.19899999999999984</v>
      </c>
      <c r="K141" s="1">
        <f t="shared" ca="1" si="19"/>
        <v>0.24953499999999984</v>
      </c>
      <c r="L141" s="2">
        <f t="shared" ca="1" si="28"/>
        <v>0.18560011792825337</v>
      </c>
      <c r="M141">
        <f t="shared" ca="1" si="16"/>
        <v>2.8900848440809659E-2</v>
      </c>
      <c r="N141">
        <f t="shared" ca="1" si="20"/>
        <v>84259494.799999997</v>
      </c>
      <c r="O141">
        <f t="shared" ca="1" si="21"/>
        <v>11.407</v>
      </c>
      <c r="P141">
        <f t="shared" ca="1" si="22"/>
        <v>0.3799598316719946</v>
      </c>
      <c r="Q141">
        <f t="shared" ca="1" si="23"/>
        <v>12.16691966334399</v>
      </c>
      <c r="R141">
        <f t="shared" ca="1" si="24"/>
        <v>10.647080336656011</v>
      </c>
    </row>
    <row r="142" spans="1:18" x14ac:dyDescent="0.25">
      <c r="A142" vm="599">
        <f ca="1"/>
        <v>45863</v>
      </c>
      <c r="B142" vm="600">
        <f ca="1"/>
        <v>11.47</v>
      </c>
      <c r="C142" vm="601">
        <f ca="1"/>
        <v>11.335000000000001</v>
      </c>
      <c r="D142" vm="602">
        <f ca="1"/>
        <v>11.49</v>
      </c>
      <c r="E142" vm="603">
        <f ca="1"/>
        <v>11.2401</v>
      </c>
      <c r="F142" vm="604">
        <f ca="1"/>
        <v>52312257</v>
      </c>
      <c r="G142" s="1">
        <f t="shared" ca="1" si="29"/>
        <v>11.274285714285714</v>
      </c>
      <c r="H142" s="1">
        <f t="shared" ca="1" si="26"/>
        <v>11.449</v>
      </c>
      <c r="I142" s="1">
        <f t="shared" ca="1" si="25"/>
        <v>10.8598</v>
      </c>
      <c r="J142">
        <f t="shared" ca="1" si="27"/>
        <v>0.24990000000000023</v>
      </c>
      <c r="K142" s="1">
        <f t="shared" ca="1" si="19"/>
        <v>0.25302999999999987</v>
      </c>
      <c r="L142" s="2">
        <f t="shared" ca="1" si="28"/>
        <v>0.20771166542069874</v>
      </c>
      <c r="M142">
        <f t="shared" ca="1" si="16"/>
        <v>2.8771383915221511E-2</v>
      </c>
      <c r="N142">
        <f t="shared" ca="1" si="20"/>
        <v>82454289.849999994</v>
      </c>
      <c r="O142">
        <f t="shared" ca="1" si="21"/>
        <v>11.449</v>
      </c>
      <c r="P142">
        <f t="shared" ca="1" si="22"/>
        <v>0.33308604862628766</v>
      </c>
      <c r="Q142">
        <f t="shared" ca="1" si="23"/>
        <v>12.115172097252575</v>
      </c>
      <c r="R142">
        <f t="shared" ca="1" si="24"/>
        <v>10.782827902747425</v>
      </c>
    </row>
    <row r="143" spans="1:18" x14ac:dyDescent="0.25">
      <c r="A143" vm="605">
        <f ca="1"/>
        <v>45866</v>
      </c>
      <c r="B143" vm="592">
        <f ca="1"/>
        <v>11.28</v>
      </c>
      <c r="C143" vm="536">
        <f ca="1"/>
        <v>11.48</v>
      </c>
      <c r="D143" vm="602">
        <f ca="1"/>
        <v>11.49</v>
      </c>
      <c r="E143" vm="606">
        <f ca="1"/>
        <v>11.25</v>
      </c>
      <c r="F143" vm="607">
        <f ca="1"/>
        <v>54173647</v>
      </c>
      <c r="G143" s="1">
        <f t="shared" ca="1" si="29"/>
        <v>11.292857142857143</v>
      </c>
      <c r="H143" s="1">
        <f t="shared" ca="1" si="26"/>
        <v>11.473000000000001</v>
      </c>
      <c r="I143" s="1">
        <f t="shared" ca="1" si="25"/>
        <v>10.872400000000001</v>
      </c>
      <c r="J143">
        <f t="shared" ca="1" si="27"/>
        <v>0.24000000000000021</v>
      </c>
      <c r="K143" s="1">
        <f t="shared" ca="1" si="19"/>
        <v>0.25302999999999987</v>
      </c>
      <c r="L143" s="2">
        <f t="shared" ca="1" si="28"/>
        <v>0.18770597959420043</v>
      </c>
      <c r="M143">
        <f t="shared" ca="1" si="16"/>
        <v>2.8684749611294399E-2</v>
      </c>
      <c r="N143">
        <f t="shared" ca="1" si="20"/>
        <v>76062560</v>
      </c>
      <c r="O143">
        <f t="shared" ca="1" si="21"/>
        <v>11.473000000000001</v>
      </c>
      <c r="P143">
        <f t="shared" ca="1" si="22"/>
        <v>0.29945740405290588</v>
      </c>
      <c r="Q143">
        <f t="shared" ca="1" si="23"/>
        <v>12.071914808105813</v>
      </c>
      <c r="R143">
        <f t="shared" ca="1" si="24"/>
        <v>10.874085191894189</v>
      </c>
    </row>
    <row r="144" spans="1:18" x14ac:dyDescent="0.25">
      <c r="A144" vm="608">
        <f ca="1"/>
        <v>45867</v>
      </c>
      <c r="B144" vm="589">
        <f ca="1"/>
        <v>11.08</v>
      </c>
      <c r="C144" vm="588">
        <f ca="1"/>
        <v>11.29</v>
      </c>
      <c r="D144" vm="588">
        <f ca="1"/>
        <v>11.29</v>
      </c>
      <c r="E144" vm="609">
        <f ca="1"/>
        <v>11.06</v>
      </c>
      <c r="F144" vm="610">
        <f ca="1"/>
        <v>58371483</v>
      </c>
      <c r="G144" s="1">
        <f t="shared" ca="1" si="29"/>
        <v>11.281428571428572</v>
      </c>
      <c r="H144" s="1">
        <f t="shared" ca="1" si="26"/>
        <v>11.484500000000001</v>
      </c>
      <c r="I144" s="1">
        <f t="shared" ca="1" si="25"/>
        <v>10.879000000000001</v>
      </c>
      <c r="J144">
        <f t="shared" ca="1" si="27"/>
        <v>0.22999999999999865</v>
      </c>
      <c r="K144" s="1">
        <f t="shared" ca="1" si="19"/>
        <v>0.25577999999999984</v>
      </c>
      <c r="L144" s="2">
        <f t="shared" ca="1" si="28"/>
        <v>0.16664736293472893</v>
      </c>
      <c r="M144">
        <f t="shared" ref="M144:M207" ca="1" si="30">_xlfn.STDEV.P(L131:L144)</f>
        <v>2.8184946710719784E-2</v>
      </c>
      <c r="N144">
        <f t="shared" ca="1" si="20"/>
        <v>74557522.599999994</v>
      </c>
      <c r="O144">
        <f t="shared" ca="1" si="21"/>
        <v>11.484500000000001</v>
      </c>
      <c r="P144">
        <f t="shared" ca="1" si="22"/>
        <v>0.27791469724965684</v>
      </c>
      <c r="Q144">
        <f t="shared" ca="1" si="23"/>
        <v>12.040329394499315</v>
      </c>
      <c r="R144">
        <f t="shared" ca="1" si="24"/>
        <v>10.928670605500686</v>
      </c>
    </row>
    <row r="145" spans="1:18" x14ac:dyDescent="0.25">
      <c r="A145" vm="611">
        <f ca="1"/>
        <v>45868</v>
      </c>
      <c r="B145" vm="499">
        <f ca="1"/>
        <v>10.87</v>
      </c>
      <c r="C145" vm="612">
        <f ca="1"/>
        <v>11.125</v>
      </c>
      <c r="D145" vm="612">
        <f ca="1"/>
        <v>11.125</v>
      </c>
      <c r="E145" vm="613">
        <f ca="1"/>
        <v>10.82</v>
      </c>
      <c r="F145" vm="614">
        <f ca="1"/>
        <v>79866858</v>
      </c>
      <c r="G145" s="1">
        <f t="shared" ca="1" si="29"/>
        <v>11.218571428571428</v>
      </c>
      <c r="H145" s="1">
        <f t="shared" ca="1" si="26"/>
        <v>11.4605</v>
      </c>
      <c r="I145" s="1">
        <f t="shared" ca="1" si="25"/>
        <v>10.880400000000002</v>
      </c>
      <c r="J145">
        <f t="shared" ca="1" si="27"/>
        <v>0.30499999999999972</v>
      </c>
      <c r="K145" s="1">
        <f t="shared" ca="1" si="19"/>
        <v>0.24153499999999983</v>
      </c>
      <c r="L145" s="2">
        <f t="shared" ca="1" si="28"/>
        <v>0.14453581544228356</v>
      </c>
      <c r="M145">
        <f t="shared" ca="1" si="30"/>
        <v>2.7508942530094432E-2</v>
      </c>
      <c r="N145">
        <f t="shared" ca="1" si="20"/>
        <v>71543328.599999994</v>
      </c>
      <c r="O145">
        <f t="shared" ca="1" si="21"/>
        <v>11.4605</v>
      </c>
      <c r="P145">
        <f t="shared" ca="1" si="22"/>
        <v>0.30911546131025652</v>
      </c>
      <c r="Q145">
        <f t="shared" ca="1" si="23"/>
        <v>12.078730922620514</v>
      </c>
      <c r="R145">
        <f t="shared" ca="1" si="24"/>
        <v>10.842269077379486</v>
      </c>
    </row>
    <row r="146" spans="1:18" x14ac:dyDescent="0.25">
      <c r="A146" vm="615">
        <f ca="1"/>
        <v>45869</v>
      </c>
      <c r="B146" vm="616">
        <f ca="1"/>
        <v>11.07</v>
      </c>
      <c r="C146" vm="617">
        <f ca="1"/>
        <v>10.773</v>
      </c>
      <c r="D146" vm="570">
        <f ca="1"/>
        <v>11.15</v>
      </c>
      <c r="E146" vm="618">
        <f ca="1"/>
        <v>10.680099999999999</v>
      </c>
      <c r="F146" vm="619">
        <f ca="1"/>
        <v>101090884</v>
      </c>
      <c r="G146" s="1">
        <f t="shared" ca="1" si="29"/>
        <v>11.20142857142857</v>
      </c>
      <c r="H146" s="1">
        <f t="shared" ca="1" si="26"/>
        <v>11.425499999999998</v>
      </c>
      <c r="I146" s="1">
        <f t="shared" ca="1" si="25"/>
        <v>10.886800000000001</v>
      </c>
      <c r="J146">
        <f t="shared" ca="1" si="27"/>
        <v>0.46990000000000087</v>
      </c>
      <c r="K146" s="1">
        <f t="shared" ca="1" si="19"/>
        <v>0.24452999999999986</v>
      </c>
      <c r="L146" s="2">
        <f t="shared" ca="1" si="28"/>
        <v>0.16559443210175528</v>
      </c>
      <c r="M146">
        <f t="shared" ca="1" si="30"/>
        <v>2.4927898930289034E-2</v>
      </c>
      <c r="N146">
        <f t="shared" ca="1" si="20"/>
        <v>70481293.400000006</v>
      </c>
      <c r="O146">
        <f t="shared" ca="1" si="21"/>
        <v>11.425499999999998</v>
      </c>
      <c r="P146">
        <f t="shared" ca="1" si="22"/>
        <v>0.31184468131292215</v>
      </c>
      <c r="Q146">
        <f t="shared" ca="1" si="23"/>
        <v>12.049189362625842</v>
      </c>
      <c r="R146">
        <f t="shared" ca="1" si="24"/>
        <v>10.801810637374153</v>
      </c>
    </row>
    <row r="147" spans="1:18" x14ac:dyDescent="0.25">
      <c r="A147" vm="620">
        <f ca="1"/>
        <v>45870</v>
      </c>
      <c r="B147" vm="613">
        <f ca="1"/>
        <v>10.82</v>
      </c>
      <c r="C147" vm="509">
        <f ca="1"/>
        <v>10.92</v>
      </c>
      <c r="D147" vm="509">
        <f ca="1"/>
        <v>10.92</v>
      </c>
      <c r="E147" vm="510">
        <f ca="1"/>
        <v>10.68</v>
      </c>
      <c r="F147" vm="621">
        <f ca="1"/>
        <v>73541489</v>
      </c>
      <c r="G147" s="1">
        <f t="shared" ca="1" si="29"/>
        <v>11.12142857142857</v>
      </c>
      <c r="H147" s="1">
        <f t="shared" ca="1" si="26"/>
        <v>11.376000000000001</v>
      </c>
      <c r="I147" s="1">
        <f t="shared" ca="1" si="25"/>
        <v>10.888800000000002</v>
      </c>
      <c r="J147">
        <f t="shared" ca="1" si="27"/>
        <v>0.24000000000000021</v>
      </c>
      <c r="K147" s="1">
        <f t="shared" ca="1" si="19"/>
        <v>0.24602999999999983</v>
      </c>
      <c r="L147" s="2">
        <f t="shared" ca="1" si="28"/>
        <v>0.13927116127741579</v>
      </c>
      <c r="M147">
        <f t="shared" ca="1" si="30"/>
        <v>2.0955353536263339E-2</v>
      </c>
      <c r="N147">
        <f t="shared" ca="1" si="20"/>
        <v>71142794.700000003</v>
      </c>
      <c r="O147">
        <f t="shared" ca="1" si="21"/>
        <v>11.376000000000001</v>
      </c>
      <c r="P147">
        <f t="shared" ca="1" si="22"/>
        <v>0.32585757302038704</v>
      </c>
      <c r="Q147">
        <f t="shared" ca="1" si="23"/>
        <v>12.027715146040775</v>
      </c>
      <c r="R147">
        <f t="shared" ca="1" si="24"/>
        <v>10.724284853959228</v>
      </c>
    </row>
    <row r="148" spans="1:18" x14ac:dyDescent="0.25">
      <c r="A148" vm="622">
        <f ca="1"/>
        <v>45873</v>
      </c>
      <c r="B148" vm="623">
        <f ca="1"/>
        <v>10.95</v>
      </c>
      <c r="C148" vm="624">
        <f ca="1"/>
        <v>10.89</v>
      </c>
      <c r="D148" vm="625">
        <f ca="1"/>
        <v>11.02</v>
      </c>
      <c r="E148" vm="514">
        <f ca="1"/>
        <v>10.86</v>
      </c>
      <c r="F148" vm="626">
        <f ca="1"/>
        <v>56696828</v>
      </c>
      <c r="G148" s="1">
        <f t="shared" ca="1" si="29"/>
        <v>11.077142857142858</v>
      </c>
      <c r="H148" s="1">
        <f t="shared" ca="1" si="26"/>
        <v>11.343999999999999</v>
      </c>
      <c r="I148" s="1">
        <f t="shared" ref="I148:I179" ca="1" si="31">AVERAGE(B99:B148)</f>
        <v>10.898200000000001</v>
      </c>
      <c r="J148">
        <f t="shared" ca="1" si="27"/>
        <v>0.16000000000000014</v>
      </c>
      <c r="K148" s="1">
        <f t="shared" ca="1" si="19"/>
        <v>0.23852999999999991</v>
      </c>
      <c r="L148" s="2">
        <f t="shared" ca="1" si="28"/>
        <v>0.15295926210607225</v>
      </c>
      <c r="M148">
        <f t="shared" ca="1" si="30"/>
        <v>1.9025586028990685E-2</v>
      </c>
      <c r="N148">
        <f t="shared" ca="1" si="20"/>
        <v>70285531.099999994</v>
      </c>
      <c r="O148">
        <f t="shared" ca="1" si="21"/>
        <v>11.343999999999999</v>
      </c>
      <c r="P148">
        <f t="shared" ca="1" si="22"/>
        <v>0.3350318131005976</v>
      </c>
      <c r="Q148">
        <f t="shared" ca="1" si="23"/>
        <v>12.014063626201194</v>
      </c>
      <c r="R148">
        <f t="shared" ca="1" si="24"/>
        <v>10.673936373798805</v>
      </c>
    </row>
    <row r="149" spans="1:18" x14ac:dyDescent="0.25">
      <c r="A149" vm="627">
        <f ca="1"/>
        <v>45874</v>
      </c>
      <c r="B149" vm="609">
        <f ca="1"/>
        <v>11.06</v>
      </c>
      <c r="C149" vm="628">
        <f ca="1"/>
        <v>10.98</v>
      </c>
      <c r="D149" vm="629">
        <f ca="1"/>
        <v>11.1</v>
      </c>
      <c r="E149" vm="630">
        <f ca="1"/>
        <v>10.9</v>
      </c>
      <c r="F149" vm="631">
        <f ca="1"/>
        <v>58864252</v>
      </c>
      <c r="G149" s="1">
        <f t="shared" ca="1" si="29"/>
        <v>11.018571428571429</v>
      </c>
      <c r="H149" s="1">
        <f t="shared" ca="1" si="26"/>
        <v>11.312999999999999</v>
      </c>
      <c r="I149" s="1">
        <f t="shared" ca="1" si="31"/>
        <v>10.910599999999999</v>
      </c>
      <c r="J149">
        <f t="shared" ca="1" si="27"/>
        <v>0.19999999999999929</v>
      </c>
      <c r="K149" s="1">
        <f t="shared" ca="1" si="19"/>
        <v>0.23802999999999991</v>
      </c>
      <c r="L149" s="2">
        <f t="shared" ca="1" si="28"/>
        <v>0.16454150126878186</v>
      </c>
      <c r="M149">
        <f t="shared" ca="1" si="30"/>
        <v>1.9046980125835444E-2</v>
      </c>
      <c r="N149">
        <f t="shared" ca="1" si="20"/>
        <v>69519232.950000003</v>
      </c>
      <c r="O149">
        <f t="shared" ca="1" si="21"/>
        <v>11.312999999999999</v>
      </c>
      <c r="P149">
        <f t="shared" ca="1" si="22"/>
        <v>0.33096509594947038</v>
      </c>
      <c r="Q149">
        <f t="shared" ca="1" si="23"/>
        <v>11.97493019189894</v>
      </c>
      <c r="R149">
        <f t="shared" ca="1" si="24"/>
        <v>10.651069808101058</v>
      </c>
    </row>
    <row r="150" spans="1:18" x14ac:dyDescent="0.25">
      <c r="A150" vm="632">
        <f ca="1"/>
        <v>45875</v>
      </c>
      <c r="B150" vm="585">
        <f ca="1"/>
        <v>11.21</v>
      </c>
      <c r="C150" vm="575">
        <f ca="1"/>
        <v>11.11</v>
      </c>
      <c r="D150" vm="584">
        <f ca="1"/>
        <v>11.26</v>
      </c>
      <c r="E150" vm="589">
        <f ca="1"/>
        <v>11.08</v>
      </c>
      <c r="F150" vm="633">
        <f ca="1"/>
        <v>59519843</v>
      </c>
      <c r="G150" s="1">
        <f t="shared" ca="1" si="29"/>
        <v>11.008571428571429</v>
      </c>
      <c r="H150" s="1">
        <f t="shared" ref="H150:H181" ca="1" si="32">AVERAGE(B131:B150)</f>
        <v>11.282</v>
      </c>
      <c r="I150" s="1">
        <f t="shared" ca="1" si="31"/>
        <v>10.9276</v>
      </c>
      <c r="J150">
        <f t="shared" ca="1" si="27"/>
        <v>0.17999999999999972</v>
      </c>
      <c r="K150" s="1">
        <f t="shared" ca="1" si="19"/>
        <v>0.24002999999999988</v>
      </c>
      <c r="L150" s="2">
        <f t="shared" ca="1" si="28"/>
        <v>0.18033546376338561</v>
      </c>
      <c r="M150">
        <f t="shared" ca="1" si="30"/>
        <v>1.9125220395975168E-2</v>
      </c>
      <c r="N150">
        <f t="shared" ca="1" si="20"/>
        <v>69300881</v>
      </c>
      <c r="O150">
        <f t="shared" ca="1" si="21"/>
        <v>11.282</v>
      </c>
      <c r="P150">
        <f t="shared" ca="1" si="22"/>
        <v>0.30824802044013716</v>
      </c>
      <c r="Q150">
        <f t="shared" ca="1" si="23"/>
        <v>11.898496040880275</v>
      </c>
      <c r="R150">
        <f t="shared" ca="1" si="24"/>
        <v>10.665503959119725</v>
      </c>
    </row>
    <row r="151" spans="1:18" x14ac:dyDescent="0.25">
      <c r="A151" vm="634">
        <f ca="1"/>
        <v>45876</v>
      </c>
      <c r="B151" vm="592">
        <f ca="1"/>
        <v>11.28</v>
      </c>
      <c r="C151" vm="635">
        <f ca="1"/>
        <v>11.3</v>
      </c>
      <c r="D151" vm="636">
        <f ca="1"/>
        <v>11.385</v>
      </c>
      <c r="E151" vm="629">
        <f ca="1"/>
        <v>11.1</v>
      </c>
      <c r="F151" vm="637">
        <f ca="1"/>
        <v>71774972</v>
      </c>
      <c r="G151" s="1">
        <f t="shared" ca="1" si="29"/>
        <v>11.037142857142856</v>
      </c>
      <c r="H151" s="1">
        <f t="shared" ca="1" si="32"/>
        <v>11.250499999999999</v>
      </c>
      <c r="I151" s="1">
        <f t="shared" ca="1" si="31"/>
        <v>10.946999999999997</v>
      </c>
      <c r="J151">
        <f t="shared" ca="1" si="27"/>
        <v>0.28500000000000014</v>
      </c>
      <c r="K151" s="1">
        <f t="shared" ref="K151:K214" ca="1" si="33">AVERAGE(J132:J151)</f>
        <v>0.24477999999999983</v>
      </c>
      <c r="L151" s="2">
        <f t="shared" ca="1" si="28"/>
        <v>0.18770597959420043</v>
      </c>
      <c r="M151">
        <f t="shared" ca="1" si="30"/>
        <v>1.9445506740656513E-2</v>
      </c>
      <c r="N151">
        <f t="shared" ref="N151:N214" ca="1" si="34">AVERAGE(F132:F151)</f>
        <v>69526478.450000003</v>
      </c>
      <c r="O151">
        <f t="shared" ref="O151:O214" ca="1" si="35">AVERAGE(B132:B151)</f>
        <v>11.250499999999999</v>
      </c>
      <c r="P151">
        <f t="shared" ref="P151:P214" ca="1" si="36">_xlfn.STDEV.S(B132:B151)</f>
        <v>0.27058367710523401</v>
      </c>
      <c r="Q151">
        <f t="shared" ref="Q151:Q214" ca="1" si="37">O151 + (2 * P151)</f>
        <v>11.791667354210468</v>
      </c>
      <c r="R151">
        <f t="shared" ref="R151:R214" ca="1" si="38">O151 - (2 * P151)</f>
        <v>10.70933264578953</v>
      </c>
    </row>
    <row r="152" spans="1:18" x14ac:dyDescent="0.25">
      <c r="A152" vm="638">
        <f ca="1"/>
        <v>45877</v>
      </c>
      <c r="B152" vm="639">
        <f ca="1"/>
        <v>11.32</v>
      </c>
      <c r="C152" vm="640">
        <f ca="1"/>
        <v>11.305</v>
      </c>
      <c r="D152" vm="525">
        <f ca="1"/>
        <v>11.37</v>
      </c>
      <c r="E152" vm="585">
        <f ca="1"/>
        <v>11.21</v>
      </c>
      <c r="F152" vm="641">
        <f ca="1"/>
        <v>48465317</v>
      </c>
      <c r="G152" s="1">
        <f t="shared" ca="1" si="29"/>
        <v>11.101428571428572</v>
      </c>
      <c r="H152" s="1">
        <f t="shared" ca="1" si="32"/>
        <v>11.227499999999999</v>
      </c>
      <c r="I152" s="1">
        <f t="shared" ca="1" si="31"/>
        <v>10.969999999999997</v>
      </c>
      <c r="J152">
        <f t="shared" ca="1" si="27"/>
        <v>0.15999999999999837</v>
      </c>
      <c r="K152" s="1">
        <f t="shared" ca="1" si="33"/>
        <v>0.2452799999999998</v>
      </c>
      <c r="L152" s="2">
        <f t="shared" ca="1" si="28"/>
        <v>0.191917702926095</v>
      </c>
      <c r="M152">
        <f t="shared" ca="1" si="30"/>
        <v>1.9508672077824307E-2</v>
      </c>
      <c r="N152">
        <f t="shared" ca="1" si="34"/>
        <v>68682707.450000003</v>
      </c>
      <c r="O152">
        <f t="shared" ca="1" si="35"/>
        <v>11.227499999999999</v>
      </c>
      <c r="P152">
        <f t="shared" ca="1" si="36"/>
        <v>0.24115675181791726</v>
      </c>
      <c r="Q152">
        <f t="shared" ca="1" si="37"/>
        <v>11.709813503635834</v>
      </c>
      <c r="R152">
        <f t="shared" ca="1" si="38"/>
        <v>10.745186496364164</v>
      </c>
    </row>
    <row r="153" spans="1:18" x14ac:dyDescent="0.25">
      <c r="A153" vm="642">
        <f ca="1"/>
        <v>45880</v>
      </c>
      <c r="B153" vm="643">
        <f ca="1"/>
        <v>11.14</v>
      </c>
      <c r="C153" vm="635">
        <f ca="1"/>
        <v>11.3</v>
      </c>
      <c r="D153" vm="563">
        <f ca="1"/>
        <v>11.57</v>
      </c>
      <c r="E153" vm="609">
        <f ca="1"/>
        <v>11.06</v>
      </c>
      <c r="F153" vm="644">
        <f ca="1"/>
        <v>84332966</v>
      </c>
      <c r="G153" s="1">
        <f t="shared" ca="1" si="29"/>
        <v>11.111428571428572</v>
      </c>
      <c r="H153" s="1">
        <f t="shared" ca="1" si="32"/>
        <v>11.1905</v>
      </c>
      <c r="I153" s="1">
        <f t="shared" ca="1" si="31"/>
        <v>10.988399999999999</v>
      </c>
      <c r="J153">
        <f t="shared" ca="1" si="27"/>
        <v>0.50999999999999979</v>
      </c>
      <c r="K153" s="1">
        <f t="shared" ca="1" si="33"/>
        <v>0.25952999999999982</v>
      </c>
      <c r="L153" s="2">
        <f t="shared" ca="1" si="28"/>
        <v>0.17296494793257056</v>
      </c>
      <c r="M153">
        <f t="shared" ca="1" si="30"/>
        <v>1.9494894816525478E-2</v>
      </c>
      <c r="N153">
        <f t="shared" ca="1" si="34"/>
        <v>69794452.049999997</v>
      </c>
      <c r="O153">
        <f t="shared" ca="1" si="35"/>
        <v>11.1905</v>
      </c>
      <c r="P153">
        <f t="shared" ca="1" si="36"/>
        <v>0.18630690582448844</v>
      </c>
      <c r="Q153">
        <f t="shared" ca="1" si="37"/>
        <v>11.563113811648977</v>
      </c>
      <c r="R153">
        <f t="shared" ca="1" si="38"/>
        <v>10.817886188351023</v>
      </c>
    </row>
    <row r="154" spans="1:18" x14ac:dyDescent="0.25">
      <c r="A154" vm="645">
        <f ca="1"/>
        <v>45881</v>
      </c>
      <c r="B154" vm="606">
        <f ca="1"/>
        <v>11.25</v>
      </c>
      <c r="C154" vm="646">
        <f ca="1"/>
        <v>11.2</v>
      </c>
      <c r="D154" vm="639">
        <f ca="1"/>
        <v>11.32</v>
      </c>
      <c r="E154" vm="647">
        <f ca="1"/>
        <v>11.13</v>
      </c>
      <c r="F154" vm="648">
        <f ca="1"/>
        <v>64021039</v>
      </c>
      <c r="G154" s="1">
        <f t="shared" ca="1" si="29"/>
        <v>11.172857142857143</v>
      </c>
      <c r="H154" s="1">
        <f t="shared" ca="1" si="32"/>
        <v>11.1745</v>
      </c>
      <c r="I154" s="1">
        <f t="shared" ca="1" si="31"/>
        <v>11.005799999999999</v>
      </c>
      <c r="J154">
        <f t="shared" ca="1" si="27"/>
        <v>0.1899999999999995</v>
      </c>
      <c r="K154" s="1">
        <f t="shared" ca="1" si="33"/>
        <v>0.24876499999999976</v>
      </c>
      <c r="L154" s="2">
        <f t="shared" ca="1" si="28"/>
        <v>0.18454718709527973</v>
      </c>
      <c r="M154">
        <f t="shared" ca="1" si="30"/>
        <v>1.8613059408774429E-2</v>
      </c>
      <c r="N154">
        <f t="shared" ca="1" si="34"/>
        <v>69740408.900000006</v>
      </c>
      <c r="O154">
        <f t="shared" ca="1" si="35"/>
        <v>11.1745</v>
      </c>
      <c r="P154">
        <f t="shared" ca="1" si="36"/>
        <v>0.16446004153945099</v>
      </c>
      <c r="Q154">
        <f t="shared" ca="1" si="37"/>
        <v>11.503420083078902</v>
      </c>
      <c r="R154">
        <f t="shared" ca="1" si="38"/>
        <v>10.845579916921098</v>
      </c>
    </row>
    <row r="155" spans="1:18" x14ac:dyDescent="0.25">
      <c r="A155" vm="649">
        <f ca="1"/>
        <v>45882</v>
      </c>
      <c r="B155" vm="650">
        <f ca="1"/>
        <v>11.44</v>
      </c>
      <c r="C155" vm="651">
        <f ca="1"/>
        <v>11.27</v>
      </c>
      <c r="D155" vm="602">
        <f ca="1"/>
        <v>11.49</v>
      </c>
      <c r="E155" vm="573">
        <f ca="1"/>
        <v>11.19</v>
      </c>
      <c r="F155" vm="652">
        <f ca="1"/>
        <v>63823345</v>
      </c>
      <c r="G155" s="1">
        <f t="shared" ca="1" si="29"/>
        <v>11.242857142857144</v>
      </c>
      <c r="H155" s="1">
        <f t="shared" ca="1" si="32"/>
        <v>11.1845</v>
      </c>
      <c r="I155" s="1">
        <f t="shared" ca="1" si="31"/>
        <v>11.034999999999998</v>
      </c>
      <c r="J155">
        <f t="shared" ca="1" si="27"/>
        <v>0.30000000000000071</v>
      </c>
      <c r="K155" s="1">
        <f t="shared" ca="1" si="33"/>
        <v>0.24876499999999985</v>
      </c>
      <c r="L155" s="2">
        <f t="shared" ca="1" si="28"/>
        <v>0.20455287292177782</v>
      </c>
      <c r="M155">
        <f t="shared" ca="1" si="30"/>
        <v>2.0061026695226573E-2</v>
      </c>
      <c r="N155">
        <f t="shared" ca="1" si="34"/>
        <v>67532668.900000006</v>
      </c>
      <c r="O155">
        <f t="shared" ca="1" si="35"/>
        <v>11.1845</v>
      </c>
      <c r="P155">
        <f t="shared" ca="1" si="36"/>
        <v>0.17443065278665612</v>
      </c>
      <c r="Q155">
        <f t="shared" ca="1" si="37"/>
        <v>11.533361305573312</v>
      </c>
      <c r="R155">
        <f t="shared" ca="1" si="38"/>
        <v>10.835638694426688</v>
      </c>
    </row>
    <row r="156" spans="1:18" x14ac:dyDescent="0.25">
      <c r="A156" vm="653">
        <f ca="1"/>
        <v>45883</v>
      </c>
      <c r="B156" vm="650">
        <f ca="1"/>
        <v>11.44</v>
      </c>
      <c r="C156" vm="635">
        <f ca="1"/>
        <v>11.3</v>
      </c>
      <c r="D156" vm="569">
        <f ca="1"/>
        <v>11.45</v>
      </c>
      <c r="E156" vm="654">
        <f ca="1"/>
        <v>11.215</v>
      </c>
      <c r="F156" vm="655">
        <f ca="1"/>
        <v>52469244</v>
      </c>
      <c r="G156" s="1">
        <f t="shared" ca="1" si="29"/>
        <v>11.297142857142857</v>
      </c>
      <c r="H156" s="1">
        <f t="shared" ca="1" si="32"/>
        <v>11.198999999999998</v>
      </c>
      <c r="I156" s="1">
        <f t="shared" ca="1" si="31"/>
        <v>11.06</v>
      </c>
      <c r="J156">
        <f t="shared" ca="1" si="27"/>
        <v>0.23499999999999943</v>
      </c>
      <c r="K156" s="1">
        <f t="shared" ca="1" si="33"/>
        <v>0.24868999999999977</v>
      </c>
      <c r="L156" s="2">
        <f t="shared" ca="1" si="28"/>
        <v>0.20455287292177782</v>
      </c>
      <c r="M156">
        <f t="shared" ca="1" si="30"/>
        <v>1.9707288292438587E-2</v>
      </c>
      <c r="N156">
        <f t="shared" ca="1" si="34"/>
        <v>66638868.25</v>
      </c>
      <c r="O156">
        <f t="shared" ca="1" si="35"/>
        <v>11.198999999999998</v>
      </c>
      <c r="P156">
        <f t="shared" ca="1" si="36"/>
        <v>0.1832427208290745</v>
      </c>
      <c r="Q156">
        <f t="shared" ca="1" si="37"/>
        <v>11.565485441658147</v>
      </c>
      <c r="R156">
        <f t="shared" ca="1" si="38"/>
        <v>10.832514558341849</v>
      </c>
    </row>
    <row r="157" spans="1:18" x14ac:dyDescent="0.25">
      <c r="A157" vm="656">
        <f ca="1"/>
        <v>45884</v>
      </c>
      <c r="B157" vm="650">
        <f ca="1"/>
        <v>11.44</v>
      </c>
      <c r="C157" vm="657">
        <f ca="1"/>
        <v>11.43</v>
      </c>
      <c r="D157" vm="658">
        <f ca="1"/>
        <v>11.52</v>
      </c>
      <c r="E157" vm="659">
        <f ca="1"/>
        <v>11.41</v>
      </c>
      <c r="F157" vm="660">
        <f ca="1"/>
        <v>46141355</v>
      </c>
      <c r="G157" s="1">
        <f t="shared" ca="1" si="29"/>
        <v>11.33</v>
      </c>
      <c r="H157" s="1">
        <f t="shared" ca="1" si="32"/>
        <v>11.212999999999999</v>
      </c>
      <c r="I157" s="1">
        <f t="shared" ca="1" si="31"/>
        <v>11.084000000000001</v>
      </c>
      <c r="J157">
        <f t="shared" ca="1" si="27"/>
        <v>0.10999999999999943</v>
      </c>
      <c r="K157" s="1">
        <f t="shared" ca="1" si="33"/>
        <v>0.24468999999999977</v>
      </c>
      <c r="L157" s="2">
        <f t="shared" ca="1" si="28"/>
        <v>0.20455287292177782</v>
      </c>
      <c r="M157">
        <f t="shared" ca="1" si="30"/>
        <v>2.0932126819444914E-2</v>
      </c>
      <c r="N157">
        <f t="shared" ca="1" si="34"/>
        <v>65505308.350000001</v>
      </c>
      <c r="O157">
        <f t="shared" ca="1" si="35"/>
        <v>11.212999999999999</v>
      </c>
      <c r="P157">
        <f t="shared" ca="1" si="36"/>
        <v>0.19065261879300688</v>
      </c>
      <c r="Q157">
        <f t="shared" ca="1" si="37"/>
        <v>11.594305237586013</v>
      </c>
      <c r="R157">
        <f t="shared" ca="1" si="38"/>
        <v>10.831694762413985</v>
      </c>
    </row>
    <row r="158" spans="1:18" x14ac:dyDescent="0.25">
      <c r="A158" vm="661">
        <f ca="1"/>
        <v>45887</v>
      </c>
      <c r="B158" vm="593">
        <f ca="1"/>
        <v>11.46</v>
      </c>
      <c r="C158" vm="662">
        <f ca="1"/>
        <v>11.4</v>
      </c>
      <c r="D158" vm="536">
        <f ca="1"/>
        <v>11.48</v>
      </c>
      <c r="E158" vm="525">
        <f ca="1"/>
        <v>11.37</v>
      </c>
      <c r="F158" vm="663">
        <f ca="1"/>
        <v>37113805</v>
      </c>
      <c r="G158" s="1">
        <f t="shared" ca="1" si="29"/>
        <v>11.355714285714287</v>
      </c>
      <c r="H158" s="1">
        <f t="shared" ca="1" si="32"/>
        <v>11.220499999999999</v>
      </c>
      <c r="I158" s="1">
        <f t="shared" ca="1" si="31"/>
        <v>11.111200000000002</v>
      </c>
      <c r="J158">
        <f t="shared" ca="1" si="27"/>
        <v>0.11000000000000121</v>
      </c>
      <c r="K158" s="1">
        <f t="shared" ca="1" si="33"/>
        <v>0.2381899999999999</v>
      </c>
      <c r="L158" s="2">
        <f t="shared" ca="1" si="28"/>
        <v>0.2066587345877251</v>
      </c>
      <c r="M158">
        <f t="shared" ca="1" si="30"/>
        <v>2.2149503309465732E-2</v>
      </c>
      <c r="N158">
        <f t="shared" ca="1" si="34"/>
        <v>64085217.100000001</v>
      </c>
      <c r="O158">
        <f t="shared" ca="1" si="35"/>
        <v>11.220499999999999</v>
      </c>
      <c r="P158">
        <f t="shared" ca="1" si="36"/>
        <v>0.1974968354176847</v>
      </c>
      <c r="Q158">
        <f t="shared" ca="1" si="37"/>
        <v>11.615493670835368</v>
      </c>
      <c r="R158">
        <f t="shared" ca="1" si="38"/>
        <v>10.825506329164631</v>
      </c>
    </row>
    <row r="159" spans="1:18" x14ac:dyDescent="0.25">
      <c r="A159" vm="664">
        <f ca="1"/>
        <v>45888</v>
      </c>
      <c r="B159" vm="665">
        <f ca="1"/>
        <v>11.58</v>
      </c>
      <c r="C159" vm="658">
        <f ca="1"/>
        <v>11.52</v>
      </c>
      <c r="D159" vm="666">
        <f ca="1"/>
        <v>11.73</v>
      </c>
      <c r="E159" vm="602">
        <f ca="1"/>
        <v>11.49</v>
      </c>
      <c r="F159" vm="667">
        <f ca="1"/>
        <v>58020177</v>
      </c>
      <c r="G159" s="1">
        <f t="shared" ca="1" si="29"/>
        <v>11.392857142857141</v>
      </c>
      <c r="H159" s="1">
        <f t="shared" ca="1" si="32"/>
        <v>11.24</v>
      </c>
      <c r="I159" s="1">
        <f t="shared" ca="1" si="31"/>
        <v>11.137600000000003</v>
      </c>
      <c r="J159">
        <f t="shared" ca="1" si="27"/>
        <v>0.24000000000000021</v>
      </c>
      <c r="K159" s="1">
        <f t="shared" ca="1" si="33"/>
        <v>0.23968999999999996</v>
      </c>
      <c r="L159" s="2">
        <f t="shared" ca="1" si="28"/>
        <v>0.21929390458340792</v>
      </c>
      <c r="M159">
        <f t="shared" ca="1" si="30"/>
        <v>2.2230946124694534E-2</v>
      </c>
      <c r="N159">
        <f t="shared" ca="1" si="34"/>
        <v>63016038.200000003</v>
      </c>
      <c r="O159">
        <f t="shared" ca="1" si="35"/>
        <v>11.24</v>
      </c>
      <c r="P159">
        <f t="shared" ca="1" si="36"/>
        <v>0.21297392971169529</v>
      </c>
      <c r="Q159">
        <f t="shared" ca="1" si="37"/>
        <v>11.66594785942339</v>
      </c>
      <c r="R159">
        <f t="shared" ca="1" si="38"/>
        <v>10.81405214057661</v>
      </c>
    </row>
    <row r="160" spans="1:18" x14ac:dyDescent="0.25">
      <c r="A160" vm="668">
        <f ca="1"/>
        <v>45889</v>
      </c>
      <c r="B160" vm="602">
        <f ca="1"/>
        <v>11.49</v>
      </c>
      <c r="C160" vm="658">
        <f ca="1"/>
        <v>11.52</v>
      </c>
      <c r="D160" vm="534">
        <f ca="1"/>
        <v>11.6</v>
      </c>
      <c r="E160" vm="600">
        <f ca="1"/>
        <v>11.47</v>
      </c>
      <c r="F160" vm="669">
        <f ca="1"/>
        <v>46469853</v>
      </c>
      <c r="G160" s="1">
        <f t="shared" ca="1" si="29"/>
        <v>11.442857142857141</v>
      </c>
      <c r="H160" s="1">
        <f t="shared" ca="1" si="32"/>
        <v>11.245500000000002</v>
      </c>
      <c r="I160" s="1">
        <f t="shared" ca="1" si="31"/>
        <v>11.160600000000002</v>
      </c>
      <c r="J160">
        <f t="shared" ca="1" si="27"/>
        <v>0.12999999999999901</v>
      </c>
      <c r="K160" s="1">
        <f t="shared" ca="1" si="33"/>
        <v>0.23718999999999985</v>
      </c>
      <c r="L160" s="2">
        <f t="shared" ca="1" si="28"/>
        <v>0.20981752708664581</v>
      </c>
      <c r="M160">
        <f t="shared" ca="1" si="30"/>
        <v>2.2496521983950656E-2</v>
      </c>
      <c r="N160">
        <f t="shared" ca="1" si="34"/>
        <v>61531370.5</v>
      </c>
      <c r="O160">
        <f t="shared" ca="1" si="35"/>
        <v>11.245500000000002</v>
      </c>
      <c r="P160">
        <f t="shared" ca="1" si="36"/>
        <v>0.218137450632442</v>
      </c>
      <c r="Q160">
        <f t="shared" ca="1" si="37"/>
        <v>11.681774901264886</v>
      </c>
      <c r="R160">
        <f t="shared" ca="1" si="38"/>
        <v>10.809225098735117</v>
      </c>
    </row>
    <row r="161" spans="1:18" x14ac:dyDescent="0.25">
      <c r="A161" vm="670">
        <f ca="1"/>
        <v>45890</v>
      </c>
      <c r="B161" vm="671">
        <f ca="1"/>
        <v>11.33</v>
      </c>
      <c r="C161" vm="672">
        <f ca="1"/>
        <v>11.42</v>
      </c>
      <c r="D161" vm="657">
        <f ca="1"/>
        <v>11.43</v>
      </c>
      <c r="E161" vm="673">
        <f ca="1"/>
        <v>11.195</v>
      </c>
      <c r="F161" vm="674">
        <f ca="1"/>
        <v>51779301</v>
      </c>
      <c r="G161" s="1">
        <f t="shared" ca="1" si="29"/>
        <v>11.454285714285714</v>
      </c>
      <c r="H161" s="1">
        <f t="shared" ca="1" si="32"/>
        <v>11.249000000000002</v>
      </c>
      <c r="I161" s="1">
        <f t="shared" ca="1" si="31"/>
        <v>11.1752</v>
      </c>
      <c r="J161">
        <f t="shared" ca="1" si="27"/>
        <v>0.23499999999999943</v>
      </c>
      <c r="K161" s="1">
        <f t="shared" ca="1" si="33"/>
        <v>0.23898999999999981</v>
      </c>
      <c r="L161" s="2">
        <f t="shared" ca="1" si="28"/>
        <v>0.19297063375906842</v>
      </c>
      <c r="M161">
        <f t="shared" ca="1" si="30"/>
        <v>1.8113589579377851E-2</v>
      </c>
      <c r="N161">
        <f t="shared" ca="1" si="34"/>
        <v>60942445.75</v>
      </c>
      <c r="O161">
        <f t="shared" ca="1" si="35"/>
        <v>11.249000000000002</v>
      </c>
      <c r="P161">
        <f t="shared" ca="1" si="36"/>
        <v>0.21894243415492626</v>
      </c>
      <c r="Q161">
        <f t="shared" ca="1" si="37"/>
        <v>11.686884868309855</v>
      </c>
      <c r="R161">
        <f t="shared" ca="1" si="38"/>
        <v>10.811115131690149</v>
      </c>
    </row>
    <row r="162" spans="1:18" x14ac:dyDescent="0.25">
      <c r="A162" vm="675">
        <f ca="1"/>
        <v>45891</v>
      </c>
      <c r="B162" vm="676">
        <f ca="1"/>
        <v>11.74</v>
      </c>
      <c r="C162" vm="677">
        <f ca="1"/>
        <v>11.39</v>
      </c>
      <c r="D162" vm="523">
        <f ca="1"/>
        <v>11.77</v>
      </c>
      <c r="E162" vm="677">
        <f ca="1"/>
        <v>11.39</v>
      </c>
      <c r="F162" vm="678">
        <f ca="1"/>
        <v>58538704</v>
      </c>
      <c r="G162" s="1">
        <f t="shared" ca="1" si="29"/>
        <v>11.497142857142858</v>
      </c>
      <c r="H162" s="1">
        <f t="shared" ca="1" si="32"/>
        <v>11.262500000000001</v>
      </c>
      <c r="I162" s="1">
        <f t="shared" ca="1" si="31"/>
        <v>11.196800000000001</v>
      </c>
      <c r="J162">
        <f t="shared" ca="1" si="27"/>
        <v>0.37999999999999901</v>
      </c>
      <c r="K162" s="1">
        <f t="shared" ca="1" si="33"/>
        <v>0.24549499999999974</v>
      </c>
      <c r="L162" s="2">
        <f t="shared" ca="1" si="28"/>
        <v>0.2361407979109853</v>
      </c>
      <c r="M162">
        <f t="shared" ca="1" si="30"/>
        <v>1.8224265699251629E-2</v>
      </c>
      <c r="N162">
        <f t="shared" ca="1" si="34"/>
        <v>61253768.100000001</v>
      </c>
      <c r="O162">
        <f t="shared" ca="1" si="35"/>
        <v>11.262500000000001</v>
      </c>
      <c r="P162">
        <f t="shared" ca="1" si="36"/>
        <v>0.24054488584308578</v>
      </c>
      <c r="Q162">
        <f t="shared" ca="1" si="37"/>
        <v>11.743589771686173</v>
      </c>
      <c r="R162">
        <f t="shared" ca="1" si="38"/>
        <v>10.781410228313829</v>
      </c>
    </row>
    <row r="163" spans="1:18" x14ac:dyDescent="0.25">
      <c r="A163" vm="679">
        <f ca="1"/>
        <v>45894</v>
      </c>
      <c r="B163" vm="680">
        <f ca="1"/>
        <v>11.82</v>
      </c>
      <c r="C163" vm="681">
        <f ca="1"/>
        <v>11.72</v>
      </c>
      <c r="D163" vm="541">
        <f ca="1"/>
        <v>11.85</v>
      </c>
      <c r="E163" vm="539">
        <f ca="1"/>
        <v>11.68</v>
      </c>
      <c r="F163" vm="682">
        <f ca="1"/>
        <v>45038754</v>
      </c>
      <c r="G163" s="1">
        <f t="shared" ca="1" si="29"/>
        <v>11.55142857142857</v>
      </c>
      <c r="H163" s="1">
        <f t="shared" ca="1" si="32"/>
        <v>11.289500000000002</v>
      </c>
      <c r="I163" s="1">
        <f t="shared" ca="1" si="31"/>
        <v>11.2226</v>
      </c>
      <c r="J163">
        <f t="shared" ca="1" si="27"/>
        <v>0.16999999999999993</v>
      </c>
      <c r="K163" s="1">
        <f t="shared" ca="1" si="33"/>
        <v>0.24199499999999974</v>
      </c>
      <c r="L163" s="2">
        <f t="shared" ca="1" si="28"/>
        <v>0.24456424457477399</v>
      </c>
      <c r="M163">
        <f t="shared" ca="1" si="30"/>
        <v>1.9588533488122416E-2</v>
      </c>
      <c r="N163">
        <f t="shared" ca="1" si="34"/>
        <v>60797023.450000003</v>
      </c>
      <c r="O163">
        <f t="shared" ca="1" si="35"/>
        <v>11.289500000000002</v>
      </c>
      <c r="P163">
        <f t="shared" ca="1" si="36"/>
        <v>0.27099184295356282</v>
      </c>
      <c r="Q163">
        <f t="shared" ca="1" si="37"/>
        <v>11.831483685907127</v>
      </c>
      <c r="R163">
        <f t="shared" ca="1" si="38"/>
        <v>10.747516314092877</v>
      </c>
    </row>
    <row r="164" spans="1:18" x14ac:dyDescent="0.25">
      <c r="A164" vm="683">
        <f ca="1"/>
        <v>45895</v>
      </c>
      <c r="B164" vm="684">
        <f ca="1"/>
        <v>11.84</v>
      </c>
      <c r="C164" vm="528">
        <f ca="1"/>
        <v>11.81</v>
      </c>
      <c r="D164" vm="685">
        <f ca="1"/>
        <v>11.87</v>
      </c>
      <c r="E164" vm="523">
        <f ca="1"/>
        <v>11.77</v>
      </c>
      <c r="F164" vm="686">
        <f ca="1"/>
        <v>48613273</v>
      </c>
      <c r="G164" s="1">
        <f t="shared" ca="1" si="29"/>
        <v>11.608571428571429</v>
      </c>
      <c r="H164" s="1">
        <f t="shared" ca="1" si="32"/>
        <v>11.327500000000002</v>
      </c>
      <c r="I164" s="1">
        <f t="shared" ca="1" si="31"/>
        <v>11.2508</v>
      </c>
      <c r="J164">
        <f t="shared" ca="1" si="27"/>
        <v>9.9999999999999645E-2</v>
      </c>
      <c r="K164" s="1">
        <f t="shared" ca="1" si="33"/>
        <v>0.23549499999999979</v>
      </c>
      <c r="L164" s="2">
        <f t="shared" ca="1" si="28"/>
        <v>0.24667010624072105</v>
      </c>
      <c r="M164">
        <f t="shared" ca="1" si="30"/>
        <v>2.1488430009168061E-2</v>
      </c>
      <c r="N164">
        <f t="shared" ca="1" si="34"/>
        <v>60309112.950000003</v>
      </c>
      <c r="O164">
        <f t="shared" ca="1" si="35"/>
        <v>11.327500000000002</v>
      </c>
      <c r="P164">
        <f t="shared" ca="1" si="36"/>
        <v>0.29250056230265342</v>
      </c>
      <c r="Q164">
        <f t="shared" ca="1" si="37"/>
        <v>11.91250112460531</v>
      </c>
      <c r="R164">
        <f t="shared" ca="1" si="38"/>
        <v>10.742498875394695</v>
      </c>
    </row>
    <row r="165" spans="1:18" x14ac:dyDescent="0.25">
      <c r="A165" vm="687">
        <f ca="1"/>
        <v>45896</v>
      </c>
      <c r="B165" vm="550">
        <f ca="1"/>
        <v>11.91</v>
      </c>
      <c r="C165" vm="680">
        <f ca="1"/>
        <v>11.82</v>
      </c>
      <c r="D165" vm="688">
        <f ca="1"/>
        <v>11.98</v>
      </c>
      <c r="E165" vm="528">
        <f ca="1"/>
        <v>11.81</v>
      </c>
      <c r="F165" vm="689">
        <f ca="1"/>
        <v>40381477</v>
      </c>
      <c r="G165" s="1">
        <f t="shared" ca="1" si="29"/>
        <v>11.672857142857142</v>
      </c>
      <c r="H165" s="1">
        <f t="shared" ca="1" si="32"/>
        <v>11.379500000000004</v>
      </c>
      <c r="I165" s="1">
        <f t="shared" ca="1" si="31"/>
        <v>11.276599999999998</v>
      </c>
      <c r="J165">
        <f t="shared" ca="1" si="27"/>
        <v>0.16999999999999993</v>
      </c>
      <c r="K165" s="1">
        <f t="shared" ca="1" si="33"/>
        <v>0.22874499999999981</v>
      </c>
      <c r="L165" s="2">
        <f t="shared" ca="1" si="28"/>
        <v>0.25404062207153633</v>
      </c>
      <c r="M165">
        <f t="shared" ca="1" si="30"/>
        <v>2.3764248976784919E-2</v>
      </c>
      <c r="N165">
        <f t="shared" ca="1" si="34"/>
        <v>58334843.899999999</v>
      </c>
      <c r="O165">
        <f t="shared" ca="1" si="35"/>
        <v>11.379500000000004</v>
      </c>
      <c r="P165">
        <f t="shared" ca="1" si="36"/>
        <v>0.29925301739673837</v>
      </c>
      <c r="Q165">
        <f t="shared" ca="1" si="37"/>
        <v>11.978006034793481</v>
      </c>
      <c r="R165">
        <f t="shared" ca="1" si="38"/>
        <v>10.780993965206527</v>
      </c>
    </row>
    <row r="166" spans="1:18" x14ac:dyDescent="0.25">
      <c r="A166" vm="690">
        <f ca="1"/>
        <v>45897</v>
      </c>
      <c r="B166" vm="555">
        <f ca="1"/>
        <v>11.71</v>
      </c>
      <c r="C166" vm="691">
        <f ca="1"/>
        <v>11.984999999999999</v>
      </c>
      <c r="D166" vm="692">
        <f ca="1"/>
        <v>11.99</v>
      </c>
      <c r="E166" vm="693">
        <f ca="1"/>
        <v>11.63</v>
      </c>
      <c r="F166" vm="694">
        <f ca="1"/>
        <v>47723668</v>
      </c>
      <c r="G166" s="1">
        <f t="shared" ca="1" si="29"/>
        <v>11.691428571428572</v>
      </c>
      <c r="H166" s="1">
        <f t="shared" ca="1" si="32"/>
        <v>11.411500000000002</v>
      </c>
      <c r="I166" s="1">
        <f t="shared" ca="1" si="31"/>
        <v>11.302399999999999</v>
      </c>
      <c r="J166">
        <f t="shared" ca="1" si="27"/>
        <v>0.35999999999999943</v>
      </c>
      <c r="K166" s="1">
        <f t="shared" ca="1" si="33"/>
        <v>0.22324999999999973</v>
      </c>
      <c r="L166" s="2">
        <f t="shared" ca="1" si="28"/>
        <v>0.2329820054120646</v>
      </c>
      <c r="M166">
        <f t="shared" ca="1" si="30"/>
        <v>2.3591890098491459E-2</v>
      </c>
      <c r="N166">
        <f t="shared" ca="1" si="34"/>
        <v>55666483.100000001</v>
      </c>
      <c r="O166">
        <f t="shared" ca="1" si="35"/>
        <v>11.411500000000002</v>
      </c>
      <c r="P166">
        <f t="shared" ca="1" si="36"/>
        <v>0.29863329034999292</v>
      </c>
      <c r="Q166">
        <f t="shared" ca="1" si="37"/>
        <v>12.008766580699987</v>
      </c>
      <c r="R166">
        <f t="shared" ca="1" si="38"/>
        <v>10.814233419300017</v>
      </c>
    </row>
    <row r="167" spans="1:18" x14ac:dyDescent="0.25">
      <c r="A167" vm="695">
        <f ca="1"/>
        <v>45898</v>
      </c>
      <c r="B167" vm="523">
        <f ca="1"/>
        <v>11.77</v>
      </c>
      <c r="C167" vm="676">
        <f ca="1"/>
        <v>11.74</v>
      </c>
      <c r="D167" vm="545">
        <f ca="1"/>
        <v>11.83</v>
      </c>
      <c r="E167" vm="681">
        <f ca="1"/>
        <v>11.72</v>
      </c>
      <c r="F167" vm="696">
        <f ca="1"/>
        <v>44069734</v>
      </c>
      <c r="G167" s="1">
        <f t="shared" ca="1" si="29"/>
        <v>11.73142857142857</v>
      </c>
      <c r="H167" s="1">
        <f t="shared" ca="1" si="32"/>
        <v>11.459000000000003</v>
      </c>
      <c r="I167" s="1">
        <f t="shared" ca="1" si="31"/>
        <v>11.329199999999998</v>
      </c>
      <c r="J167">
        <f t="shared" ca="1" si="27"/>
        <v>0.10999999999999943</v>
      </c>
      <c r="K167" s="1">
        <f t="shared" ca="1" si="33"/>
        <v>0.21674999999999969</v>
      </c>
      <c r="L167" s="2">
        <f t="shared" ca="1" si="28"/>
        <v>0.239299590409906</v>
      </c>
      <c r="M167">
        <f t="shared" ca="1" si="30"/>
        <v>2.1146535506530412E-2</v>
      </c>
      <c r="N167">
        <f t="shared" ca="1" si="34"/>
        <v>54192895.350000001</v>
      </c>
      <c r="O167">
        <f t="shared" ca="1" si="35"/>
        <v>11.459000000000003</v>
      </c>
      <c r="P167">
        <f t="shared" ca="1" si="36"/>
        <v>0.27414748239818504</v>
      </c>
      <c r="Q167">
        <f t="shared" ca="1" si="37"/>
        <v>12.007294964796372</v>
      </c>
      <c r="R167">
        <f t="shared" ca="1" si="38"/>
        <v>10.910705035203634</v>
      </c>
    </row>
    <row r="168" spans="1:18" x14ac:dyDescent="0.25">
      <c r="A168" vm="697">
        <f ca="1"/>
        <v>45902</v>
      </c>
      <c r="B168" vm="681">
        <f ca="1"/>
        <v>11.72</v>
      </c>
      <c r="C168" vm="698">
        <f ca="1"/>
        <v>11.755000000000001</v>
      </c>
      <c r="D168" vm="699">
        <f ca="1"/>
        <v>11.89</v>
      </c>
      <c r="E168" vm="542">
        <f ca="1"/>
        <v>11.64</v>
      </c>
      <c r="F168" vm="700">
        <f ca="1"/>
        <v>57704182</v>
      </c>
      <c r="G168" s="1">
        <f t="shared" ca="1" si="29"/>
        <v>11.787142857142857</v>
      </c>
      <c r="H168" s="1">
        <f t="shared" ca="1" si="32"/>
        <v>11.4975</v>
      </c>
      <c r="I168" s="1">
        <f t="shared" ca="1" si="31"/>
        <v>11.351799999999999</v>
      </c>
      <c r="J168">
        <f t="shared" ca="1" si="27"/>
        <v>0.25</v>
      </c>
      <c r="K168" s="1">
        <f t="shared" ca="1" si="33"/>
        <v>0.22124999999999967</v>
      </c>
      <c r="L168" s="2">
        <f t="shared" ca="1" si="28"/>
        <v>0.23403493624503824</v>
      </c>
      <c r="M168">
        <f t="shared" ca="1" si="30"/>
        <v>1.893797596707333E-2</v>
      </c>
      <c r="N168">
        <f t="shared" ca="1" si="34"/>
        <v>54243263.049999997</v>
      </c>
      <c r="O168">
        <f t="shared" ca="1" si="35"/>
        <v>11.4975</v>
      </c>
      <c r="P168">
        <f t="shared" ca="1" si="36"/>
        <v>0.25208342395242672</v>
      </c>
      <c r="Q168">
        <f t="shared" ca="1" si="37"/>
        <v>12.001666847904854</v>
      </c>
      <c r="R168">
        <f t="shared" ca="1" si="38"/>
        <v>10.993333152095147</v>
      </c>
    </row>
    <row r="169" spans="1:18" x14ac:dyDescent="0.25">
      <c r="A169" vm="701">
        <f ca="1"/>
        <v>45903</v>
      </c>
      <c r="B169" vm="702">
        <f ca="1"/>
        <v>11.62</v>
      </c>
      <c r="C169" vm="560">
        <f ca="1"/>
        <v>11.67</v>
      </c>
      <c r="D169" vm="703">
        <f ca="1"/>
        <v>11.725</v>
      </c>
      <c r="E169" vm="563">
        <f ca="1"/>
        <v>11.57</v>
      </c>
      <c r="F169" vm="704">
        <f ca="1"/>
        <v>47728660</v>
      </c>
      <c r="G169" s="1">
        <f t="shared" ca="1" si="29"/>
        <v>11.77</v>
      </c>
      <c r="H169" s="1">
        <f t="shared" ca="1" si="32"/>
        <v>11.525500000000001</v>
      </c>
      <c r="I169" s="1">
        <f t="shared" ca="1" si="31"/>
        <v>11.369199999999996</v>
      </c>
      <c r="J169">
        <f t="shared" ca="1" si="27"/>
        <v>0.15499999999999936</v>
      </c>
      <c r="K169" s="1">
        <f t="shared" ca="1" si="33"/>
        <v>0.21899999999999969</v>
      </c>
      <c r="L169" s="2">
        <f t="shared" ca="1" si="28"/>
        <v>0.22350562791530226</v>
      </c>
      <c r="M169">
        <f t="shared" ca="1" si="30"/>
        <v>1.819211301735494E-2</v>
      </c>
      <c r="N169">
        <f t="shared" ca="1" si="34"/>
        <v>53686483.450000003</v>
      </c>
      <c r="O169">
        <f t="shared" ca="1" si="35"/>
        <v>11.525500000000001</v>
      </c>
      <c r="P169">
        <f t="shared" ca="1" si="36"/>
        <v>0.23116353290986105</v>
      </c>
      <c r="Q169">
        <f t="shared" ca="1" si="37"/>
        <v>11.987827065819722</v>
      </c>
      <c r="R169">
        <f t="shared" ca="1" si="38"/>
        <v>11.06317293418028</v>
      </c>
    </row>
    <row r="170" spans="1:18" x14ac:dyDescent="0.25">
      <c r="A170" vm="705">
        <f ca="1"/>
        <v>45904</v>
      </c>
      <c r="B170" vm="539">
        <f ca="1"/>
        <v>11.68</v>
      </c>
      <c r="C170" vm="540">
        <f ca="1"/>
        <v>11.65</v>
      </c>
      <c r="D170" vm="706">
        <f ca="1"/>
        <v>11.7</v>
      </c>
      <c r="E170" vm="563">
        <f ca="1"/>
        <v>11.57</v>
      </c>
      <c r="F170" vm="707">
        <f ca="1"/>
        <v>33136650</v>
      </c>
      <c r="G170" s="1">
        <f t="shared" ca="1" si="29"/>
        <v>11.75</v>
      </c>
      <c r="H170" s="1">
        <f t="shared" ca="1" si="32"/>
        <v>11.549000000000001</v>
      </c>
      <c r="I170" s="1">
        <f t="shared" ca="1" si="31"/>
        <v>11.388199999999994</v>
      </c>
      <c r="J170">
        <f t="shared" ca="1" si="27"/>
        <v>0.12999999999999901</v>
      </c>
      <c r="K170" s="1">
        <f t="shared" ca="1" si="33"/>
        <v>0.21649999999999964</v>
      </c>
      <c r="L170" s="2">
        <f t="shared" ca="1" si="28"/>
        <v>0.22982321291314389</v>
      </c>
      <c r="M170">
        <f t="shared" ca="1" si="30"/>
        <v>1.7312694656928529E-2</v>
      </c>
      <c r="N170">
        <f t="shared" ca="1" si="34"/>
        <v>52367323.799999997</v>
      </c>
      <c r="O170">
        <f t="shared" ca="1" si="35"/>
        <v>11.549000000000001</v>
      </c>
      <c r="P170">
        <f t="shared" ca="1" si="36"/>
        <v>0.22107155307489784</v>
      </c>
      <c r="Q170">
        <f t="shared" ca="1" si="37"/>
        <v>11.991143106149798</v>
      </c>
      <c r="R170">
        <f t="shared" ca="1" si="38"/>
        <v>11.106856893850205</v>
      </c>
    </row>
    <row r="171" spans="1:18" x14ac:dyDescent="0.25">
      <c r="A171" vm="708">
        <f ca="1"/>
        <v>45905</v>
      </c>
      <c r="B171" vm="676">
        <f ca="1"/>
        <v>11.74</v>
      </c>
      <c r="C171" vm="555">
        <f ca="1"/>
        <v>11.71</v>
      </c>
      <c r="D171" vm="550">
        <f ca="1"/>
        <v>11.91</v>
      </c>
      <c r="E171" vm="709">
        <f ca="1"/>
        <v>11.66</v>
      </c>
      <c r="F171" vm="710">
        <f ca="1"/>
        <v>47547831</v>
      </c>
      <c r="G171" s="1">
        <f t="shared" ca="1" si="29"/>
        <v>11.735714285714284</v>
      </c>
      <c r="H171" s="1">
        <f t="shared" ca="1" si="32"/>
        <v>11.572000000000001</v>
      </c>
      <c r="I171" s="1">
        <f t="shared" ca="1" si="31"/>
        <v>11.413399999999998</v>
      </c>
      <c r="J171">
        <f t="shared" ca="1" si="27"/>
        <v>0.25</v>
      </c>
      <c r="K171" s="1">
        <f t="shared" ca="1" si="33"/>
        <v>0.21474999999999964</v>
      </c>
      <c r="L171" s="2">
        <f t="shared" ca="1" si="28"/>
        <v>0.2361407979109853</v>
      </c>
      <c r="M171">
        <f t="shared" ca="1" si="30"/>
        <v>1.6303089358780283E-2</v>
      </c>
      <c r="N171">
        <f t="shared" ca="1" si="34"/>
        <v>51155966.75</v>
      </c>
      <c r="O171">
        <f t="shared" ca="1" si="35"/>
        <v>11.572000000000001</v>
      </c>
      <c r="P171">
        <f t="shared" ca="1" si="36"/>
        <v>0.21547011027298577</v>
      </c>
      <c r="Q171">
        <f t="shared" ca="1" si="37"/>
        <v>12.002940220545973</v>
      </c>
      <c r="R171">
        <f t="shared" ca="1" si="38"/>
        <v>11.141059779454029</v>
      </c>
    </row>
    <row r="172" spans="1:18" x14ac:dyDescent="0.25">
      <c r="A172" vm="711">
        <f ca="1"/>
        <v>45908</v>
      </c>
      <c r="B172" vm="712">
        <f ca="1"/>
        <v>11.69</v>
      </c>
      <c r="C172" vm="529">
        <f ca="1"/>
        <v>11.75</v>
      </c>
      <c r="D172" vm="529">
        <f ca="1"/>
        <v>11.75</v>
      </c>
      <c r="E172" vm="665">
        <f ca="1"/>
        <v>11.58</v>
      </c>
      <c r="F172" vm="713">
        <f ca="1"/>
        <v>39734522</v>
      </c>
      <c r="G172" s="1">
        <f t="shared" ca="1" si="29"/>
        <v>11.704285714285714</v>
      </c>
      <c r="H172" s="1">
        <f t="shared" ca="1" si="32"/>
        <v>11.5905</v>
      </c>
      <c r="I172" s="1">
        <f t="shared" ca="1" si="31"/>
        <v>11.434599999999998</v>
      </c>
      <c r="J172">
        <f t="shared" ca="1" si="27"/>
        <v>0.16999999999999993</v>
      </c>
      <c r="K172" s="1">
        <f t="shared" ca="1" si="33"/>
        <v>0.21524999999999972</v>
      </c>
      <c r="L172" s="2">
        <f t="shared" ca="1" si="28"/>
        <v>0.23087614374611731</v>
      </c>
      <c r="M172">
        <f t="shared" ca="1" si="30"/>
        <v>1.5080177027972702E-2</v>
      </c>
      <c r="N172">
        <f t="shared" ca="1" si="34"/>
        <v>50719427</v>
      </c>
      <c r="O172">
        <f t="shared" ca="1" si="35"/>
        <v>11.5905</v>
      </c>
      <c r="P172">
        <f t="shared" ca="1" si="36"/>
        <v>0.20846494088682485</v>
      </c>
      <c r="Q172">
        <f t="shared" ca="1" si="37"/>
        <v>12.00742988177365</v>
      </c>
      <c r="R172">
        <f t="shared" ca="1" si="38"/>
        <v>11.173570118226351</v>
      </c>
    </row>
    <row r="173" spans="1:18" x14ac:dyDescent="0.25">
      <c r="A173" vm="714">
        <f ca="1"/>
        <v>45909</v>
      </c>
      <c r="B173" vm="602">
        <f ca="1"/>
        <v>11.49</v>
      </c>
      <c r="C173" vm="560">
        <f ca="1"/>
        <v>11.67</v>
      </c>
      <c r="D173" vm="539">
        <f ca="1"/>
        <v>11.68</v>
      </c>
      <c r="E173" vm="569">
        <f ca="1"/>
        <v>11.45</v>
      </c>
      <c r="F173" vm="715">
        <f ca="1"/>
        <v>41262743</v>
      </c>
      <c r="G173" s="1">
        <f t="shared" ca="1" si="29"/>
        <v>11.672857142857142</v>
      </c>
      <c r="H173" s="1">
        <f t="shared" ca="1" si="32"/>
        <v>11.608000000000001</v>
      </c>
      <c r="I173" s="1">
        <f t="shared" ca="1" si="31"/>
        <v>11.448399999999998</v>
      </c>
      <c r="J173">
        <f t="shared" ca="1" si="27"/>
        <v>0.23000000000000043</v>
      </c>
      <c r="K173" s="1">
        <f t="shared" ca="1" si="33"/>
        <v>0.20124999999999976</v>
      </c>
      <c r="L173" s="2">
        <f t="shared" ca="1" si="28"/>
        <v>0.20981752708664581</v>
      </c>
      <c r="M173">
        <f t="shared" ca="1" si="30"/>
        <v>1.5774790382156297E-2</v>
      </c>
      <c r="N173">
        <f t="shared" ca="1" si="34"/>
        <v>48565915.850000001</v>
      </c>
      <c r="O173">
        <f t="shared" ca="1" si="35"/>
        <v>11.608000000000001</v>
      </c>
      <c r="P173">
        <f t="shared" ca="1" si="36"/>
        <v>0.18161845489347925</v>
      </c>
      <c r="Q173">
        <f t="shared" ca="1" si="37"/>
        <v>11.97123690978696</v>
      </c>
      <c r="R173">
        <f t="shared" ca="1" si="38"/>
        <v>11.244763090213041</v>
      </c>
    </row>
    <row r="174" spans="1:18" x14ac:dyDescent="0.25">
      <c r="A174" vm="716">
        <f ca="1"/>
        <v>45910</v>
      </c>
      <c r="B174" vm="672">
        <f ca="1"/>
        <v>11.42</v>
      </c>
      <c r="C174" vm="602">
        <f ca="1"/>
        <v>11.49</v>
      </c>
      <c r="D174" vm="658">
        <f ca="1"/>
        <v>11.52</v>
      </c>
      <c r="E174" vm="583">
        <f ca="1"/>
        <v>11.31</v>
      </c>
      <c r="F174" vm="717">
        <f ca="1"/>
        <v>47021328</v>
      </c>
      <c r="G174" s="1">
        <f t="shared" ca="1" si="29"/>
        <v>11.622857142857143</v>
      </c>
      <c r="H174" s="1">
        <f t="shared" ca="1" si="32"/>
        <v>11.6165</v>
      </c>
      <c r="I174" s="1">
        <f t="shared" ca="1" si="31"/>
        <v>11.459799999999996</v>
      </c>
      <c r="J174">
        <f t="shared" ca="1" si="27"/>
        <v>0.20999999999999908</v>
      </c>
      <c r="K174" s="1">
        <f t="shared" ca="1" si="33"/>
        <v>0.20224999999999974</v>
      </c>
      <c r="L174" s="2">
        <f t="shared" ca="1" si="28"/>
        <v>0.20244701125583076</v>
      </c>
      <c r="M174">
        <f t="shared" ca="1" si="30"/>
        <v>1.6545372211280548E-2</v>
      </c>
      <c r="N174">
        <f t="shared" ca="1" si="34"/>
        <v>47715930.299999997</v>
      </c>
      <c r="O174">
        <f t="shared" ca="1" si="35"/>
        <v>11.6165</v>
      </c>
      <c r="P174">
        <f t="shared" ca="1" si="36"/>
        <v>0.16740354646309341</v>
      </c>
      <c r="Q174">
        <f t="shared" ca="1" si="37"/>
        <v>11.951307092926188</v>
      </c>
      <c r="R174">
        <f t="shared" ca="1" si="38"/>
        <v>11.281692907073813</v>
      </c>
    </row>
    <row r="175" spans="1:18" x14ac:dyDescent="0.25">
      <c r="A175" vm="718">
        <f ca="1"/>
        <v>45911</v>
      </c>
      <c r="B175" vm="547">
        <f ca="1"/>
        <v>11.76</v>
      </c>
      <c r="C175" vm="593">
        <f ca="1"/>
        <v>11.46</v>
      </c>
      <c r="D175" vm="535">
        <f ca="1"/>
        <v>11.79</v>
      </c>
      <c r="E175" vm="657">
        <f ca="1"/>
        <v>11.43</v>
      </c>
      <c r="F175" vm="719">
        <f ca="1"/>
        <v>64196118</v>
      </c>
      <c r="G175" s="1">
        <f t="shared" ca="1" si="29"/>
        <v>11.62857142857143</v>
      </c>
      <c r="H175" s="1">
        <f t="shared" ca="1" si="32"/>
        <v>11.632500000000002</v>
      </c>
      <c r="I175" s="1">
        <f t="shared" ca="1" si="31"/>
        <v>11.467999999999996</v>
      </c>
      <c r="J175">
        <f t="shared" ca="1" si="27"/>
        <v>0.35999999999999943</v>
      </c>
      <c r="K175" s="1">
        <f t="shared" ca="1" si="33"/>
        <v>0.20524999999999965</v>
      </c>
      <c r="L175" s="2">
        <f t="shared" ca="1" si="28"/>
        <v>0.23824665957693258</v>
      </c>
      <c r="M175">
        <f t="shared" ca="1" si="30"/>
        <v>1.3164213765742666E-2</v>
      </c>
      <c r="N175">
        <f t="shared" ca="1" si="34"/>
        <v>47734568.950000003</v>
      </c>
      <c r="O175">
        <f t="shared" ca="1" si="35"/>
        <v>11.632500000000002</v>
      </c>
      <c r="P175">
        <f t="shared" ca="1" si="36"/>
        <v>0.16492023590368263</v>
      </c>
      <c r="Q175">
        <f t="shared" ca="1" si="37"/>
        <v>11.962340471807368</v>
      </c>
      <c r="R175">
        <f t="shared" ca="1" si="38"/>
        <v>11.302659528192637</v>
      </c>
    </row>
    <row r="176" spans="1:18" x14ac:dyDescent="0.25">
      <c r="A176" vm="720">
        <f ca="1"/>
        <v>45912</v>
      </c>
      <c r="B176" vm="539">
        <f ca="1"/>
        <v>11.68</v>
      </c>
      <c r="C176" vm="721">
        <f ca="1"/>
        <v>11.754</v>
      </c>
      <c r="D176" vm="528">
        <f ca="1"/>
        <v>11.81</v>
      </c>
      <c r="E176" vm="709">
        <f ca="1"/>
        <v>11.66</v>
      </c>
      <c r="F176" vm="722">
        <f ca="1"/>
        <v>50100809</v>
      </c>
      <c r="G176" s="1">
        <f t="shared" ca="1" si="29"/>
        <v>11.637142857142859</v>
      </c>
      <c r="H176" s="1">
        <f t="shared" ca="1" si="32"/>
        <v>11.644500000000001</v>
      </c>
      <c r="I176" s="1">
        <f t="shared" ca="1" si="31"/>
        <v>11.466199999999994</v>
      </c>
      <c r="J176">
        <f t="shared" ca="1" si="27"/>
        <v>0.15000000000000036</v>
      </c>
      <c r="K176" s="1">
        <f t="shared" ca="1" si="33"/>
        <v>0.20099999999999971</v>
      </c>
      <c r="L176" s="2">
        <f t="shared" ca="1" si="28"/>
        <v>0.22982321291314389</v>
      </c>
      <c r="M176">
        <f t="shared" ca="1" si="30"/>
        <v>1.3148736060414503E-2</v>
      </c>
      <c r="N176">
        <f t="shared" ca="1" si="34"/>
        <v>47616147.200000003</v>
      </c>
      <c r="O176">
        <f t="shared" ca="1" si="35"/>
        <v>11.644500000000001</v>
      </c>
      <c r="P176">
        <f t="shared" ca="1" si="36"/>
        <v>0.15879397443161836</v>
      </c>
      <c r="Q176">
        <f t="shared" ca="1" si="37"/>
        <v>11.962087948863237</v>
      </c>
      <c r="R176">
        <f t="shared" ca="1" si="38"/>
        <v>11.326912051136764</v>
      </c>
    </row>
    <row r="177" spans="1:18" x14ac:dyDescent="0.25">
      <c r="A177" vm="723">
        <f ca="1"/>
        <v>45915</v>
      </c>
      <c r="B177" vm="539">
        <f ca="1"/>
        <v>11.68</v>
      </c>
      <c r="C177" vm="676">
        <f ca="1"/>
        <v>11.74</v>
      </c>
      <c r="D177" vm="698">
        <f ca="1"/>
        <v>11.755000000000001</v>
      </c>
      <c r="E177" vm="724">
        <f ca="1"/>
        <v>11.61</v>
      </c>
      <c r="F177" vm="725">
        <f ca="1"/>
        <v>47942431</v>
      </c>
      <c r="G177" s="1">
        <f t="shared" ca="1" si="29"/>
        <v>11.637142857142859</v>
      </c>
      <c r="H177" s="1">
        <f t="shared" ca="1" si="32"/>
        <v>11.656500000000001</v>
      </c>
      <c r="I177" s="1">
        <f t="shared" ca="1" si="31"/>
        <v>11.463599999999996</v>
      </c>
      <c r="J177">
        <f t="shared" ca="1" si="27"/>
        <v>0.14500000000000135</v>
      </c>
      <c r="K177" s="1">
        <f t="shared" ca="1" si="33"/>
        <v>0.20274999999999982</v>
      </c>
      <c r="L177" s="2">
        <f t="shared" ca="1" si="28"/>
        <v>0.22982321291314389</v>
      </c>
      <c r="M177">
        <f t="shared" ca="1" si="30"/>
        <v>1.270770890609998E-2</v>
      </c>
      <c r="N177">
        <f t="shared" ca="1" si="34"/>
        <v>47706201</v>
      </c>
      <c r="O177">
        <f t="shared" ca="1" si="35"/>
        <v>11.656500000000001</v>
      </c>
      <c r="P177">
        <f t="shared" ca="1" si="36"/>
        <v>0.15142394304176526</v>
      </c>
      <c r="Q177">
        <f t="shared" ca="1" si="37"/>
        <v>11.959347886083531</v>
      </c>
      <c r="R177">
        <f t="shared" ca="1" si="38"/>
        <v>11.353652113916471</v>
      </c>
    </row>
    <row r="178" spans="1:18" x14ac:dyDescent="0.25">
      <c r="A178" vm="726">
        <f ca="1"/>
        <v>45916</v>
      </c>
      <c r="B178" vm="724">
        <f ca="1"/>
        <v>11.61</v>
      </c>
      <c r="C178" vm="727">
        <f ca="1"/>
        <v>11.685</v>
      </c>
      <c r="D178" vm="524">
        <f ca="1"/>
        <v>11.78</v>
      </c>
      <c r="E178" vm="728">
        <f ca="1"/>
        <v>11.51</v>
      </c>
      <c r="F178" vm="729">
        <f ca="1"/>
        <v>58064970</v>
      </c>
      <c r="G178" s="1">
        <f t="shared" ca="1" si="29"/>
        <v>11.618571428571428</v>
      </c>
      <c r="H178" s="1">
        <f t="shared" ca="1" si="32"/>
        <v>11.663999999999998</v>
      </c>
      <c r="I178" s="1">
        <f t="shared" ca="1" si="31"/>
        <v>11.463999999999997</v>
      </c>
      <c r="J178">
        <f t="shared" ca="1" si="27"/>
        <v>0.26999999999999957</v>
      </c>
      <c r="K178" s="1">
        <f t="shared" ca="1" si="33"/>
        <v>0.21074999999999972</v>
      </c>
      <c r="L178" s="2">
        <f t="shared" ca="1" si="28"/>
        <v>0.22245269708232862</v>
      </c>
      <c r="M178">
        <f t="shared" ca="1" si="30"/>
        <v>1.2126209630663369E-2</v>
      </c>
      <c r="N178">
        <f t="shared" ca="1" si="34"/>
        <v>48753759.25</v>
      </c>
      <c r="O178">
        <f t="shared" ca="1" si="35"/>
        <v>11.663999999999998</v>
      </c>
      <c r="P178">
        <f t="shared" ca="1" si="36"/>
        <v>0.14474660254171226</v>
      </c>
      <c r="Q178">
        <f t="shared" ca="1" si="37"/>
        <v>11.953493205083422</v>
      </c>
      <c r="R178">
        <f t="shared" ca="1" si="38"/>
        <v>11.374506794916574</v>
      </c>
    </row>
    <row r="179" spans="1:18" x14ac:dyDescent="0.25">
      <c r="A179" vm="730">
        <f ca="1"/>
        <v>45917</v>
      </c>
      <c r="B179" vm="709">
        <f ca="1"/>
        <v>11.66</v>
      </c>
      <c r="C179" vm="693">
        <f ca="1"/>
        <v>11.63</v>
      </c>
      <c r="D179" vm="558">
        <f ca="1"/>
        <v>11.88</v>
      </c>
      <c r="E179" vm="731">
        <f ca="1"/>
        <v>11.55</v>
      </c>
      <c r="F179" vm="732">
        <f ca="1"/>
        <v>68585945</v>
      </c>
      <c r="G179" s="1">
        <f t="shared" ca="1" si="29"/>
        <v>11.614285714285714</v>
      </c>
      <c r="H179" s="1">
        <f t="shared" ca="1" si="32"/>
        <v>11.667999999999999</v>
      </c>
      <c r="I179" s="1">
        <f t="shared" ca="1" si="31"/>
        <v>11.463599999999996</v>
      </c>
      <c r="J179">
        <f t="shared" ca="1" si="27"/>
        <v>0.33000000000000007</v>
      </c>
      <c r="K179" s="1">
        <f t="shared" ca="1" si="33"/>
        <v>0.21524999999999972</v>
      </c>
      <c r="L179" s="2">
        <f t="shared" ca="1" si="28"/>
        <v>0.22771735124719661</v>
      </c>
      <c r="M179">
        <f t="shared" ca="1" si="30"/>
        <v>1.0040095476005043E-2</v>
      </c>
      <c r="N179">
        <f t="shared" ca="1" si="34"/>
        <v>49282047.649999999</v>
      </c>
      <c r="O179">
        <f t="shared" ca="1" si="35"/>
        <v>11.667999999999999</v>
      </c>
      <c r="P179">
        <f t="shared" ca="1" si="36"/>
        <v>0.14340226820491997</v>
      </c>
      <c r="Q179">
        <f t="shared" ca="1" si="37"/>
        <v>11.954804536409839</v>
      </c>
      <c r="R179">
        <f t="shared" ca="1" si="38"/>
        <v>11.38119546359016</v>
      </c>
    </row>
    <row r="180" spans="1:18" x14ac:dyDescent="0.25">
      <c r="A180" vm="733">
        <f ca="1"/>
        <v>45918</v>
      </c>
      <c r="B180" vm="676">
        <f ca="1"/>
        <v>11.74</v>
      </c>
      <c r="C180" vm="712">
        <f ca="1"/>
        <v>11.69</v>
      </c>
      <c r="D180" vm="524">
        <f ca="1"/>
        <v>11.78</v>
      </c>
      <c r="E180" vm="702">
        <f ca="1"/>
        <v>11.62</v>
      </c>
      <c r="F180" vm="734">
        <f ca="1"/>
        <v>55040063</v>
      </c>
      <c r="G180" s="1">
        <f t="shared" ca="1" si="29"/>
        <v>11.65</v>
      </c>
      <c r="H180" s="1">
        <f t="shared" ca="1" si="32"/>
        <v>11.680499999999999</v>
      </c>
      <c r="I180" s="1">
        <f t="shared" ref="I180:I211" ca="1" si="39">AVERAGE(B131:B180)</f>
        <v>11.461799999999998</v>
      </c>
      <c r="J180">
        <f t="shared" ca="1" si="27"/>
        <v>0.16000000000000014</v>
      </c>
      <c r="K180" s="1">
        <f t="shared" ca="1" si="33"/>
        <v>0.21674999999999978</v>
      </c>
      <c r="L180" s="2">
        <f t="shared" ca="1" si="28"/>
        <v>0.2361407979109853</v>
      </c>
      <c r="M180">
        <f t="shared" ca="1" si="30"/>
        <v>1.0191906942866421E-2</v>
      </c>
      <c r="N180">
        <f t="shared" ca="1" si="34"/>
        <v>49710558.149999999</v>
      </c>
      <c r="O180">
        <f t="shared" ca="1" si="35"/>
        <v>11.680499999999999</v>
      </c>
      <c r="P180">
        <f t="shared" ca="1" si="36"/>
        <v>0.13785862323409448</v>
      </c>
      <c r="Q180">
        <f t="shared" ca="1" si="37"/>
        <v>11.956217246468187</v>
      </c>
      <c r="R180">
        <f t="shared" ca="1" si="38"/>
        <v>11.40478275353181</v>
      </c>
    </row>
    <row r="181" spans="1:18" x14ac:dyDescent="0.25">
      <c r="A181" vm="735">
        <f ca="1"/>
        <v>45919</v>
      </c>
      <c r="B181" vm="702">
        <f ca="1"/>
        <v>11.62</v>
      </c>
      <c r="C181" vm="523">
        <f ca="1"/>
        <v>11.77</v>
      </c>
      <c r="D181" vm="736">
        <f ca="1"/>
        <v>11.8</v>
      </c>
      <c r="E181" vm="737">
        <f ca="1"/>
        <v>11.585000000000001</v>
      </c>
      <c r="F181" vm="738">
        <f ca="1"/>
        <v>71676341</v>
      </c>
      <c r="G181" s="1">
        <f t="shared" ca="1" si="29"/>
        <v>11.678571428571429</v>
      </c>
      <c r="H181" s="1">
        <f t="shared" ca="1" si="32"/>
        <v>11.695</v>
      </c>
      <c r="I181" s="1">
        <f t="shared" ca="1" si="39"/>
        <v>11.455999999999996</v>
      </c>
      <c r="J181">
        <f t="shared" ca="1" si="27"/>
        <v>0.21499999999999986</v>
      </c>
      <c r="K181" s="1">
        <f t="shared" ca="1" si="33"/>
        <v>0.2157499999999998</v>
      </c>
      <c r="L181" s="2">
        <f t="shared" ca="1" si="28"/>
        <v>0.22350562791530226</v>
      </c>
      <c r="M181">
        <f t="shared" ca="1" si="30"/>
        <v>9.7276245077690844E-3</v>
      </c>
      <c r="N181">
        <f t="shared" ca="1" si="34"/>
        <v>50705410.149999999</v>
      </c>
      <c r="O181">
        <f t="shared" ca="1" si="35"/>
        <v>11.695</v>
      </c>
      <c r="P181">
        <f t="shared" ca="1" si="36"/>
        <v>0.11185046408392545</v>
      </c>
      <c r="Q181">
        <f t="shared" ca="1" si="37"/>
        <v>11.918700928167851</v>
      </c>
      <c r="R181">
        <f t="shared" ca="1" si="38"/>
        <v>11.471299071832149</v>
      </c>
    </row>
    <row r="182" spans="1:18" x14ac:dyDescent="0.25">
      <c r="A182" vm="739">
        <f ca="1"/>
        <v>45922</v>
      </c>
      <c r="B182" vm="709">
        <f ca="1"/>
        <v>11.66</v>
      </c>
      <c r="C182" vm="534">
        <f ca="1"/>
        <v>11.6</v>
      </c>
      <c r="D182" vm="706">
        <f ca="1"/>
        <v>11.7</v>
      </c>
      <c r="E182" vm="740">
        <f ca="1"/>
        <v>11.565</v>
      </c>
      <c r="F182" vm="741">
        <f ca="1"/>
        <v>58432710</v>
      </c>
      <c r="G182" s="1">
        <f t="shared" ca="1" si="29"/>
        <v>11.664285714285713</v>
      </c>
      <c r="H182" s="1">
        <f t="shared" ref="H182:H213" ca="1" si="40">AVERAGE(B163:B182)</f>
        <v>11.690999999999999</v>
      </c>
      <c r="I182" s="1">
        <f t="shared" ca="1" si="39"/>
        <v>11.4536</v>
      </c>
      <c r="J182">
        <f t="shared" ca="1" si="27"/>
        <v>0.13499999999999979</v>
      </c>
      <c r="K182" s="1">
        <f t="shared" ca="1" si="33"/>
        <v>0.20349999999999985</v>
      </c>
      <c r="L182" s="2">
        <f t="shared" ca="1" si="28"/>
        <v>0.22771735124719661</v>
      </c>
      <c r="M182">
        <f t="shared" ca="1" si="30"/>
        <v>9.5231188389877999E-3</v>
      </c>
      <c r="N182">
        <f t="shared" ca="1" si="34"/>
        <v>50700110.450000003</v>
      </c>
      <c r="O182">
        <f t="shared" ca="1" si="35"/>
        <v>11.690999999999999</v>
      </c>
      <c r="P182">
        <f t="shared" ca="1" si="36"/>
        <v>0.11158664323013055</v>
      </c>
      <c r="Q182">
        <f t="shared" ca="1" si="37"/>
        <v>11.91417328646026</v>
      </c>
      <c r="R182">
        <f t="shared" ca="1" si="38"/>
        <v>11.467826713539738</v>
      </c>
    </row>
    <row r="183" spans="1:18" x14ac:dyDescent="0.25">
      <c r="A183" vm="742">
        <f ca="1"/>
        <v>45923</v>
      </c>
      <c r="B183" vm="666">
        <f ca="1"/>
        <v>11.73</v>
      </c>
      <c r="C183" vm="706">
        <f ca="1"/>
        <v>11.7</v>
      </c>
      <c r="D183" vm="564">
        <f ca="1"/>
        <v>11.93</v>
      </c>
      <c r="E183" vm="743">
        <f ca="1"/>
        <v>11.695</v>
      </c>
      <c r="F183" vm="744">
        <f ca="1"/>
        <v>55667552</v>
      </c>
      <c r="G183" s="1">
        <f t="shared" ca="1" si="29"/>
        <v>11.671428571428573</v>
      </c>
      <c r="H183" s="1">
        <f t="shared" ca="1" si="40"/>
        <v>11.686499999999999</v>
      </c>
      <c r="I183" s="1">
        <f t="shared" ca="1" si="39"/>
        <v>11.4506</v>
      </c>
      <c r="J183">
        <f t="shared" ca="1" si="27"/>
        <v>0.23499999999999943</v>
      </c>
      <c r="K183" s="1">
        <f t="shared" ca="1" si="33"/>
        <v>0.20674999999999982</v>
      </c>
      <c r="L183" s="2">
        <f t="shared" ca="1" si="28"/>
        <v>0.23508786707801188</v>
      </c>
      <c r="M183">
        <f t="shared" ca="1" si="30"/>
        <v>9.7459240012124186E-3</v>
      </c>
      <c r="N183">
        <f t="shared" ca="1" si="34"/>
        <v>51231550.350000001</v>
      </c>
      <c r="O183">
        <f t="shared" ca="1" si="35"/>
        <v>11.686499999999999</v>
      </c>
      <c r="P183">
        <f t="shared" ca="1" si="36"/>
        <v>0.10786321747570181</v>
      </c>
      <c r="Q183">
        <f t="shared" ca="1" si="37"/>
        <v>11.902226434951402</v>
      </c>
      <c r="R183">
        <f t="shared" ca="1" si="38"/>
        <v>11.470773565048596</v>
      </c>
    </row>
    <row r="184" spans="1:18" x14ac:dyDescent="0.25">
      <c r="A184" vm="745">
        <f ca="1"/>
        <v>45924</v>
      </c>
      <c r="B184" vm="693">
        <f ca="1"/>
        <v>11.63</v>
      </c>
      <c r="C184" vm="666">
        <f ca="1"/>
        <v>11.73</v>
      </c>
      <c r="D184" vm="545">
        <f ca="1"/>
        <v>11.83</v>
      </c>
      <c r="E184" vm="533">
        <f ca="1"/>
        <v>11.59</v>
      </c>
      <c r="F184" vm="746">
        <f ca="1"/>
        <v>60193780</v>
      </c>
      <c r="G184" s="1">
        <f t="shared" ca="1" si="29"/>
        <v>11.664285714285713</v>
      </c>
      <c r="H184" s="1">
        <f t="shared" ca="1" si="40"/>
        <v>11.676</v>
      </c>
      <c r="I184" s="1">
        <f t="shared" ca="1" si="39"/>
        <v>11.4518</v>
      </c>
      <c r="J184">
        <f t="shared" ca="1" si="27"/>
        <v>0.24000000000000021</v>
      </c>
      <c r="K184" s="1">
        <f t="shared" ca="1" si="33"/>
        <v>0.21374999999999983</v>
      </c>
      <c r="L184" s="2">
        <f t="shared" ca="1" si="28"/>
        <v>0.2245585587482759</v>
      </c>
      <c r="M184">
        <f t="shared" ca="1" si="30"/>
        <v>9.7357618623892771E-3</v>
      </c>
      <c r="N184">
        <f t="shared" ca="1" si="34"/>
        <v>51810575.700000003</v>
      </c>
      <c r="O184">
        <f t="shared" ca="1" si="35"/>
        <v>11.676</v>
      </c>
      <c r="P184">
        <f t="shared" ca="1" si="36"/>
        <v>0.10220721985003653</v>
      </c>
      <c r="Q184">
        <f t="shared" ca="1" si="37"/>
        <v>11.880414439700074</v>
      </c>
      <c r="R184">
        <f t="shared" ca="1" si="38"/>
        <v>11.471585560299927</v>
      </c>
    </row>
    <row r="185" spans="1:18" x14ac:dyDescent="0.25">
      <c r="A185" vm="747">
        <f ca="1"/>
        <v>45925</v>
      </c>
      <c r="B185" vm="702">
        <f ca="1"/>
        <v>11.62</v>
      </c>
      <c r="C185" vm="748">
        <f ca="1"/>
        <v>11.54</v>
      </c>
      <c r="D185" vm="540">
        <f ca="1"/>
        <v>11.65</v>
      </c>
      <c r="E185" vm="525">
        <f ca="1"/>
        <v>11.37</v>
      </c>
      <c r="F185" vm="749">
        <f ca="1"/>
        <v>67656337</v>
      </c>
      <c r="G185" s="1">
        <f t="shared" ca="1" si="29"/>
        <v>11.665714285714285</v>
      </c>
      <c r="H185" s="1">
        <f t="shared" ca="1" si="40"/>
        <v>11.6615</v>
      </c>
      <c r="I185" s="1">
        <f t="shared" ca="1" si="39"/>
        <v>11.4594</v>
      </c>
      <c r="J185">
        <f t="shared" ca="1" si="27"/>
        <v>0.28000000000000114</v>
      </c>
      <c r="K185" s="1">
        <f t="shared" ca="1" si="33"/>
        <v>0.21924999999999989</v>
      </c>
      <c r="L185" s="2">
        <f t="shared" ca="1" si="28"/>
        <v>0.22350562791530226</v>
      </c>
      <c r="M185">
        <f t="shared" ca="1" si="30"/>
        <v>9.4023714240687312E-3</v>
      </c>
      <c r="N185">
        <f t="shared" ca="1" si="34"/>
        <v>53174318.700000003</v>
      </c>
      <c r="O185">
        <f t="shared" ca="1" si="35"/>
        <v>11.6615</v>
      </c>
      <c r="P185">
        <f t="shared" ca="1" si="36"/>
        <v>8.6649627204834864E-2</v>
      </c>
      <c r="Q185">
        <f t="shared" ca="1" si="37"/>
        <v>11.834799254409671</v>
      </c>
      <c r="R185">
        <f t="shared" ca="1" si="38"/>
        <v>11.48820074559033</v>
      </c>
    </row>
    <row r="186" spans="1:18" x14ac:dyDescent="0.25">
      <c r="A186" vm="750">
        <f ca="1"/>
        <v>45926</v>
      </c>
      <c r="B186" vm="751">
        <f ca="1"/>
        <v>12.01</v>
      </c>
      <c r="C186" vm="540">
        <f ca="1"/>
        <v>11.65</v>
      </c>
      <c r="D186" vm="752">
        <f ca="1"/>
        <v>12.315</v>
      </c>
      <c r="E186" vm="540">
        <f ca="1"/>
        <v>11.65</v>
      </c>
      <c r="F186" vm="753">
        <f ca="1"/>
        <v>117681848</v>
      </c>
      <c r="G186" s="1">
        <f t="shared" ca="1" si="29"/>
        <v>11.715714285714286</v>
      </c>
      <c r="H186" s="1">
        <f t="shared" ca="1" si="40"/>
        <v>11.676500000000001</v>
      </c>
      <c r="I186" s="1">
        <f t="shared" ca="1" si="39"/>
        <v>11.476600000000001</v>
      </c>
      <c r="J186">
        <f t="shared" ca="1" si="27"/>
        <v>0.66499999999999915</v>
      </c>
      <c r="K186" s="1">
        <f t="shared" ca="1" si="33"/>
        <v>0.23449999999999988</v>
      </c>
      <c r="L186" s="2">
        <f t="shared" ca="1" si="28"/>
        <v>0.26456993040127208</v>
      </c>
      <c r="M186">
        <f t="shared" ca="1" si="30"/>
        <v>1.3709778666493238E-2</v>
      </c>
      <c r="N186">
        <f t="shared" ca="1" si="34"/>
        <v>56672227.700000003</v>
      </c>
      <c r="O186">
        <f t="shared" ca="1" si="35"/>
        <v>11.676500000000001</v>
      </c>
      <c r="P186">
        <f t="shared" ca="1" si="36"/>
        <v>0.1163603748795322</v>
      </c>
      <c r="Q186">
        <f t="shared" ca="1" si="37"/>
        <v>11.909220749759065</v>
      </c>
      <c r="R186">
        <f t="shared" ca="1" si="38"/>
        <v>11.443779250240937</v>
      </c>
    </row>
    <row r="187" spans="1:18" x14ac:dyDescent="0.25">
      <c r="A187" vm="754">
        <f ca="1"/>
        <v>45929</v>
      </c>
      <c r="B187" vm="755">
        <f ca="1"/>
        <v>12.09</v>
      </c>
      <c r="C187" vm="756">
        <f ca="1"/>
        <v>12.1</v>
      </c>
      <c r="D187" vm="757">
        <f ca="1"/>
        <v>12.12</v>
      </c>
      <c r="E187" vm="699">
        <f ca="1"/>
        <v>11.89</v>
      </c>
      <c r="F187" vm="758">
        <f ca="1"/>
        <v>83325012</v>
      </c>
      <c r="G187" s="1">
        <f t="shared" ca="1" si="29"/>
        <v>11.765714285714287</v>
      </c>
      <c r="H187" s="1">
        <f t="shared" ca="1" si="40"/>
        <v>11.692500000000001</v>
      </c>
      <c r="I187" s="1">
        <f t="shared" ca="1" si="39"/>
        <v>11.495200000000002</v>
      </c>
      <c r="J187">
        <f t="shared" ca="1" si="27"/>
        <v>0.22999999999999865</v>
      </c>
      <c r="K187" s="1">
        <f t="shared" ca="1" si="33"/>
        <v>0.24049999999999985</v>
      </c>
      <c r="L187" s="2">
        <f t="shared" ca="1" si="28"/>
        <v>0.27299337706506077</v>
      </c>
      <c r="M187">
        <f t="shared" ca="1" si="30"/>
        <v>1.6922771187097778E-2</v>
      </c>
      <c r="N187">
        <f t="shared" ca="1" si="34"/>
        <v>58634991.600000001</v>
      </c>
      <c r="O187">
        <f t="shared" ca="1" si="35"/>
        <v>11.692500000000001</v>
      </c>
      <c r="P187">
        <f t="shared" ca="1" si="36"/>
        <v>0.14767941808632576</v>
      </c>
      <c r="Q187">
        <f t="shared" ca="1" si="37"/>
        <v>11.987858836172652</v>
      </c>
      <c r="R187">
        <f t="shared" ca="1" si="38"/>
        <v>11.397141163827349</v>
      </c>
    </row>
    <row r="188" spans="1:18" x14ac:dyDescent="0.25">
      <c r="A188" vm="759">
        <f ca="1"/>
        <v>45930</v>
      </c>
      <c r="B188" vm="530">
        <f ca="1"/>
        <v>11.96</v>
      </c>
      <c r="C188" vm="760">
        <f ca="1"/>
        <v>12.11</v>
      </c>
      <c r="D188" vm="761">
        <f ca="1"/>
        <v>12.2</v>
      </c>
      <c r="E188" vm="550">
        <f ca="1"/>
        <v>11.91</v>
      </c>
      <c r="F188" vm="762">
        <f ca="1"/>
        <v>70765048</v>
      </c>
      <c r="G188" s="1">
        <f t="shared" ca="1" si="29"/>
        <v>11.814285714285713</v>
      </c>
      <c r="H188" s="1">
        <f t="shared" ca="1" si="40"/>
        <v>11.704500000000001</v>
      </c>
      <c r="I188" s="1">
        <f t="shared" ca="1" si="39"/>
        <v>11.508200000000004</v>
      </c>
      <c r="J188">
        <f t="shared" ca="1" si="27"/>
        <v>0.28999999999999915</v>
      </c>
      <c r="K188" s="1">
        <f t="shared" ca="1" si="33"/>
        <v>0.2424999999999998</v>
      </c>
      <c r="L188" s="2">
        <f t="shared" ca="1" si="28"/>
        <v>0.25930527623640431</v>
      </c>
      <c r="M188">
        <f t="shared" ca="1" si="30"/>
        <v>1.5956615747720306E-2</v>
      </c>
      <c r="N188">
        <f t="shared" ca="1" si="34"/>
        <v>59288034.899999999</v>
      </c>
      <c r="O188">
        <f t="shared" ca="1" si="35"/>
        <v>11.704500000000001</v>
      </c>
      <c r="P188">
        <f t="shared" ca="1" si="36"/>
        <v>0.15932340496117037</v>
      </c>
      <c r="Q188">
        <f t="shared" ca="1" si="37"/>
        <v>12.023146809922341</v>
      </c>
      <c r="R188">
        <f t="shared" ca="1" si="38"/>
        <v>11.385853190077661</v>
      </c>
    </row>
    <row r="189" spans="1:18" x14ac:dyDescent="0.25">
      <c r="A189" vm="763">
        <f ca="1"/>
        <v>45931</v>
      </c>
      <c r="B189" vm="764">
        <f ca="1"/>
        <v>12.27</v>
      </c>
      <c r="C189" vm="757">
        <f ca="1"/>
        <v>12.12</v>
      </c>
      <c r="D189" vm="765">
        <f ca="1"/>
        <v>12.28</v>
      </c>
      <c r="E189" vm="766">
        <f ca="1"/>
        <v>12.04</v>
      </c>
      <c r="F189" vm="767">
        <f ca="1"/>
        <v>73578427</v>
      </c>
      <c r="G189" s="1">
        <f t="shared" ca="1" si="29"/>
        <v>11.901428571428569</v>
      </c>
      <c r="H189" s="1">
        <f t="shared" ca="1" si="40"/>
        <v>11.737</v>
      </c>
      <c r="I189" s="1">
        <f t="shared" ca="1" si="39"/>
        <v>11.529800000000005</v>
      </c>
      <c r="J189">
        <f t="shared" ca="1" si="27"/>
        <v>0.24000000000000021</v>
      </c>
      <c r="K189" s="1">
        <f t="shared" ca="1" si="33"/>
        <v>0.24674999999999986</v>
      </c>
      <c r="L189" s="2">
        <f t="shared" ca="1" si="28"/>
        <v>0.29194613205858522</v>
      </c>
      <c r="M189">
        <f t="shared" ca="1" si="30"/>
        <v>2.1373749624859537E-2</v>
      </c>
      <c r="N189">
        <f t="shared" ca="1" si="34"/>
        <v>60580523.25</v>
      </c>
      <c r="O189">
        <f t="shared" ca="1" si="35"/>
        <v>11.737</v>
      </c>
      <c r="P189">
        <f t="shared" ca="1" si="36"/>
        <v>0.20181022873247195</v>
      </c>
      <c r="Q189">
        <f t="shared" ca="1" si="37"/>
        <v>12.140620457464944</v>
      </c>
      <c r="R189">
        <f t="shared" ca="1" si="38"/>
        <v>11.333379542535056</v>
      </c>
    </row>
    <row r="190" spans="1:18" x14ac:dyDescent="0.25">
      <c r="A190" vm="768">
        <f ca="1"/>
        <v>45932</v>
      </c>
      <c r="B190" vm="769">
        <f ca="1"/>
        <v>12.22</v>
      </c>
      <c r="C190" vm="765">
        <f ca="1"/>
        <v>12.28</v>
      </c>
      <c r="D190" vm="770">
        <f ca="1"/>
        <v>12.43</v>
      </c>
      <c r="E190" vm="757">
        <f ca="1"/>
        <v>12.12</v>
      </c>
      <c r="F190" vm="771">
        <f ca="1"/>
        <v>74530532</v>
      </c>
      <c r="G190" s="1">
        <f t="shared" ca="1" si="29"/>
        <v>11.971428571428572</v>
      </c>
      <c r="H190" s="1">
        <f t="shared" ca="1" si="40"/>
        <v>11.763999999999999</v>
      </c>
      <c r="I190" s="1">
        <f t="shared" ca="1" si="39"/>
        <v>11.546600000000005</v>
      </c>
      <c r="J190">
        <f t="shared" ca="1" si="27"/>
        <v>0.3100000000000005</v>
      </c>
      <c r="K190" s="1">
        <f t="shared" ca="1" si="33"/>
        <v>0.25574999999999992</v>
      </c>
      <c r="L190" s="2">
        <f t="shared" ca="1" si="28"/>
        <v>0.28668147789371723</v>
      </c>
      <c r="M190">
        <f t="shared" ca="1" si="30"/>
        <v>2.4151452772503867E-2</v>
      </c>
      <c r="N190">
        <f t="shared" ca="1" si="34"/>
        <v>62650217.350000001</v>
      </c>
      <c r="O190">
        <f t="shared" ca="1" si="35"/>
        <v>11.763999999999999</v>
      </c>
      <c r="P190">
        <f t="shared" ca="1" si="36"/>
        <v>0.22818275224269838</v>
      </c>
      <c r="Q190">
        <f t="shared" ca="1" si="37"/>
        <v>12.220365504485397</v>
      </c>
      <c r="R190">
        <f t="shared" ca="1" si="38"/>
        <v>11.307634495514602</v>
      </c>
    </row>
    <row r="191" spans="1:18" x14ac:dyDescent="0.25">
      <c r="A191" vm="772">
        <f ca="1"/>
        <v>45933</v>
      </c>
      <c r="B191" vm="773">
        <f ca="1"/>
        <v>12.67</v>
      </c>
      <c r="C191" vm="774">
        <f ca="1"/>
        <v>12.244999999999999</v>
      </c>
      <c r="D191" vm="773">
        <f ca="1"/>
        <v>12.67</v>
      </c>
      <c r="E191" vm="761">
        <f ca="1"/>
        <v>12.2</v>
      </c>
      <c r="F191" vm="775">
        <f ca="1"/>
        <v>100778558</v>
      </c>
      <c r="G191" s="1">
        <f t="shared" ca="1" si="29"/>
        <v>12.120000000000001</v>
      </c>
      <c r="H191" s="1">
        <f t="shared" ca="1" si="40"/>
        <v>11.810499999999999</v>
      </c>
      <c r="I191" s="1">
        <f t="shared" ca="1" si="39"/>
        <v>11.574800000000005</v>
      </c>
      <c r="J191">
        <f t="shared" ca="1" si="27"/>
        <v>0.47000000000000064</v>
      </c>
      <c r="K191" s="1">
        <f t="shared" ca="1" si="33"/>
        <v>0.26674999999999993</v>
      </c>
      <c r="L191" s="2">
        <f t="shared" ca="1" si="28"/>
        <v>0.33406336537752845</v>
      </c>
      <c r="M191">
        <f t="shared" ca="1" si="30"/>
        <v>3.2897447949572736E-2</v>
      </c>
      <c r="N191">
        <f t="shared" ca="1" si="34"/>
        <v>65311753.700000003</v>
      </c>
      <c r="O191">
        <f t="shared" ca="1" si="35"/>
        <v>11.810499999999999</v>
      </c>
      <c r="P191">
        <f t="shared" ca="1" si="36"/>
        <v>0.3048981710946167</v>
      </c>
      <c r="Q191">
        <f t="shared" ca="1" si="37"/>
        <v>12.420296342189232</v>
      </c>
      <c r="R191">
        <f t="shared" ca="1" si="38"/>
        <v>11.200703657810767</v>
      </c>
    </row>
    <row r="192" spans="1:18" x14ac:dyDescent="0.25">
      <c r="A192" vm="776">
        <f ca="1"/>
        <v>45936</v>
      </c>
      <c r="B192" vm="777">
        <f ca="1"/>
        <v>12.7</v>
      </c>
      <c r="C192" vm="778">
        <f ca="1"/>
        <v>12.63</v>
      </c>
      <c r="D192" vm="779">
        <f ca="1"/>
        <v>12.8</v>
      </c>
      <c r="E192" vm="780">
        <f ca="1"/>
        <v>12.48</v>
      </c>
      <c r="F192" vm="781">
        <f ca="1"/>
        <v>90544937</v>
      </c>
      <c r="G192" s="1">
        <f t="shared" ca="1" si="29"/>
        <v>12.274285714285714</v>
      </c>
      <c r="H192" s="1">
        <f t="shared" ca="1" si="40"/>
        <v>11.860999999999999</v>
      </c>
      <c r="I192" s="1">
        <f t="shared" ca="1" si="39"/>
        <v>11.599400000000005</v>
      </c>
      <c r="J192">
        <f t="shared" ca="1" si="27"/>
        <v>0.32000000000000028</v>
      </c>
      <c r="K192" s="1">
        <f t="shared" ca="1" si="33"/>
        <v>0.27424999999999999</v>
      </c>
      <c r="L192" s="2">
        <f t="shared" ca="1" si="28"/>
        <v>0.33722215787644916</v>
      </c>
      <c r="M192">
        <f t="shared" ca="1" si="30"/>
        <v>3.832519463398746E-2</v>
      </c>
      <c r="N192">
        <f t="shared" ca="1" si="34"/>
        <v>67852274.450000003</v>
      </c>
      <c r="O192">
        <f t="shared" ca="1" si="35"/>
        <v>11.860999999999999</v>
      </c>
      <c r="P192">
        <f t="shared" ca="1" si="36"/>
        <v>0.36215582572321425</v>
      </c>
      <c r="Q192">
        <f t="shared" ca="1" si="37"/>
        <v>12.585311651446428</v>
      </c>
      <c r="R192">
        <f t="shared" ca="1" si="38"/>
        <v>11.136688348553569</v>
      </c>
    </row>
    <row r="193" spans="1:18" x14ac:dyDescent="0.25">
      <c r="A193" vm="782">
        <f ca="1"/>
        <v>45937</v>
      </c>
      <c r="B193" vm="783">
        <f ca="1"/>
        <v>11.92</v>
      </c>
      <c r="C193" vm="784">
        <f ca="1"/>
        <v>12.5</v>
      </c>
      <c r="D193" vm="785">
        <f ca="1"/>
        <v>12.53</v>
      </c>
      <c r="E193" vm="676">
        <f ca="1"/>
        <v>11.74</v>
      </c>
      <c r="F193" vm="786">
        <f ca="1"/>
        <v>154390154</v>
      </c>
      <c r="G193" s="1">
        <f t="shared" ca="1" si="29"/>
        <v>12.261428571428571</v>
      </c>
      <c r="H193" s="1">
        <f t="shared" ca="1" si="40"/>
        <v>11.882499999999999</v>
      </c>
      <c r="I193" s="1">
        <f t="shared" ca="1" si="39"/>
        <v>11.612200000000003</v>
      </c>
      <c r="J193">
        <f t="shared" ca="1" si="27"/>
        <v>0.78999999999999915</v>
      </c>
      <c r="K193" s="1">
        <f t="shared" ca="1" si="33"/>
        <v>0.30224999999999991</v>
      </c>
      <c r="L193" s="2">
        <f t="shared" ca="1" si="28"/>
        <v>0.25509355290450975</v>
      </c>
      <c r="M193">
        <f t="shared" ca="1" si="30"/>
        <v>3.7294432872276517E-2</v>
      </c>
      <c r="N193">
        <f t="shared" ca="1" si="34"/>
        <v>73508645</v>
      </c>
      <c r="O193">
        <f t="shared" ca="1" si="35"/>
        <v>11.882499999999999</v>
      </c>
      <c r="P193">
        <f t="shared" ca="1" si="36"/>
        <v>0.35158101559429478</v>
      </c>
      <c r="Q193">
        <f t="shared" ca="1" si="37"/>
        <v>12.585662031188589</v>
      </c>
      <c r="R193">
        <f t="shared" ca="1" si="38"/>
        <v>11.179337968811408</v>
      </c>
    </row>
    <row r="194" spans="1:18" x14ac:dyDescent="0.25">
      <c r="A194" vm="787">
        <f ca="1"/>
        <v>45938</v>
      </c>
      <c r="B194" vm="676">
        <f ca="1"/>
        <v>11.74</v>
      </c>
      <c r="C194" vm="688">
        <f ca="1"/>
        <v>11.98</v>
      </c>
      <c r="D194" vm="788">
        <f ca="1"/>
        <v>12.013999999999999</v>
      </c>
      <c r="E194" vm="539">
        <f ca="1"/>
        <v>11.68</v>
      </c>
      <c r="F194" vm="789">
        <f ca="1"/>
        <v>78469653</v>
      </c>
      <c r="G194" s="1">
        <f t="shared" ca="1" si="29"/>
        <v>12.211428571428572</v>
      </c>
      <c r="H194" s="1">
        <f t="shared" ca="1" si="40"/>
        <v>11.898499999999999</v>
      </c>
      <c r="I194" s="1">
        <f t="shared" ca="1" si="39"/>
        <v>11.625400000000004</v>
      </c>
      <c r="J194">
        <f t="shared" ca="1" si="27"/>
        <v>0.33399999999999963</v>
      </c>
      <c r="K194" s="1">
        <f t="shared" ca="1" si="33"/>
        <v>0.30844999999999995</v>
      </c>
      <c r="L194" s="2">
        <f t="shared" ca="1" si="28"/>
        <v>0.2361407979109853</v>
      </c>
      <c r="M194">
        <f t="shared" ca="1" si="30"/>
        <v>3.7294432872276399E-2</v>
      </c>
      <c r="N194">
        <f t="shared" ca="1" si="34"/>
        <v>75081061.25</v>
      </c>
      <c r="O194">
        <f t="shared" ca="1" si="35"/>
        <v>11.898499999999999</v>
      </c>
      <c r="P194">
        <f t="shared" ca="1" si="36"/>
        <v>0.33637815499508095</v>
      </c>
      <c r="Q194">
        <f t="shared" ca="1" si="37"/>
        <v>12.57125630999016</v>
      </c>
      <c r="R194">
        <f t="shared" ca="1" si="38"/>
        <v>11.225743690009837</v>
      </c>
    </row>
    <row r="195" spans="1:18" x14ac:dyDescent="0.25">
      <c r="A195" vm="790">
        <f ca="1"/>
        <v>45939</v>
      </c>
      <c r="B195" vm="791">
        <f ca="1"/>
        <v>11.5</v>
      </c>
      <c r="C195" vm="792">
        <f ca="1"/>
        <v>11.744999999999999</v>
      </c>
      <c r="D195" vm="523">
        <f ca="1"/>
        <v>11.77</v>
      </c>
      <c r="E195" vm="536">
        <f ca="1"/>
        <v>11.48</v>
      </c>
      <c r="F195" vm="793">
        <f ca="1"/>
        <v>70320483</v>
      </c>
      <c r="G195" s="1">
        <f t="shared" ca="1" si="29"/>
        <v>12.145714285714286</v>
      </c>
      <c r="H195" s="1">
        <f t="shared" ca="1" si="40"/>
        <v>11.885499999999999</v>
      </c>
      <c r="I195" s="1">
        <f t="shared" ca="1" si="39"/>
        <v>11.638000000000002</v>
      </c>
      <c r="J195">
        <f t="shared" ref="J195:J217" ca="1" si="41">D195-E195</f>
        <v>0.28999999999999915</v>
      </c>
      <c r="K195" s="1">
        <f t="shared" ca="1" si="33"/>
        <v>0.30494999999999994</v>
      </c>
      <c r="L195" s="2">
        <f t="shared" ref="L195:L217" ca="1" si="42">(B195/$B$3)-1</f>
        <v>0.21087045791961945</v>
      </c>
      <c r="M195">
        <f t="shared" ca="1" si="30"/>
        <v>3.8360305158354362E-2</v>
      </c>
      <c r="N195">
        <f t="shared" ca="1" si="34"/>
        <v>75387279.5</v>
      </c>
      <c r="O195">
        <f t="shared" ca="1" si="35"/>
        <v>11.885499999999999</v>
      </c>
      <c r="P195">
        <f t="shared" ca="1" si="36"/>
        <v>0.34687287220779345</v>
      </c>
      <c r="Q195">
        <f t="shared" ca="1" si="37"/>
        <v>12.579245744415585</v>
      </c>
      <c r="R195">
        <f t="shared" ca="1" si="38"/>
        <v>11.191754255584412</v>
      </c>
    </row>
    <row r="196" spans="1:18" x14ac:dyDescent="0.25">
      <c r="A196" vm="794">
        <f ca="1"/>
        <v>45940</v>
      </c>
      <c r="B196" vm="659">
        <f ca="1"/>
        <v>11.41</v>
      </c>
      <c r="C196" vm="731">
        <f ca="1"/>
        <v>11.55</v>
      </c>
      <c r="D196" vm="533">
        <f ca="1"/>
        <v>11.59</v>
      </c>
      <c r="E196" vm="518">
        <f ca="1"/>
        <v>11.35</v>
      </c>
      <c r="F196" vm="795">
        <f ca="1"/>
        <v>84595402</v>
      </c>
      <c r="G196" s="1">
        <f t="shared" ca="1" si="29"/>
        <v>12.022857142857143</v>
      </c>
      <c r="H196" s="1">
        <f t="shared" ca="1" si="40"/>
        <v>11.872</v>
      </c>
      <c r="I196" s="1">
        <f t="shared" ca="1" si="39"/>
        <v>11.644800000000002</v>
      </c>
      <c r="J196">
        <f t="shared" ca="1" si="41"/>
        <v>0.24000000000000021</v>
      </c>
      <c r="K196" s="1">
        <f t="shared" ca="1" si="33"/>
        <v>0.30944999999999989</v>
      </c>
      <c r="L196" s="2">
        <f t="shared" ca="1" si="42"/>
        <v>0.20139408042285711</v>
      </c>
      <c r="M196">
        <f t="shared" ca="1" si="30"/>
        <v>4.0548440339971584E-2</v>
      </c>
      <c r="N196">
        <f t="shared" ca="1" si="34"/>
        <v>77112009.150000006</v>
      </c>
      <c r="O196">
        <f t="shared" ca="1" si="35"/>
        <v>11.872</v>
      </c>
      <c r="P196">
        <f t="shared" ca="1" si="36"/>
        <v>0.36028643575559943</v>
      </c>
      <c r="Q196">
        <f t="shared" ca="1" si="37"/>
        <v>12.592572871511198</v>
      </c>
      <c r="R196">
        <f t="shared" ca="1" si="38"/>
        <v>11.151427128488802</v>
      </c>
    </row>
    <row r="197" spans="1:18" x14ac:dyDescent="0.25">
      <c r="A197" vm="796">
        <f ca="1"/>
        <v>45943</v>
      </c>
      <c r="B197" vm="748">
        <f ca="1"/>
        <v>11.54</v>
      </c>
      <c r="C197" vm="602">
        <f ca="1"/>
        <v>11.49</v>
      </c>
      <c r="D197" vm="693">
        <f ca="1"/>
        <v>11.63</v>
      </c>
      <c r="E197" vm="593">
        <f ca="1"/>
        <v>11.46</v>
      </c>
      <c r="F197" vm="797">
        <f ca="1"/>
        <v>73939384</v>
      </c>
      <c r="G197" s="1">
        <f t="shared" ca="1" si="29"/>
        <v>11.925714285714283</v>
      </c>
      <c r="H197" s="1">
        <f t="shared" ca="1" si="40"/>
        <v>11.864999999999998</v>
      </c>
      <c r="I197" s="1">
        <f t="shared" ca="1" si="39"/>
        <v>11.6592</v>
      </c>
      <c r="J197">
        <f t="shared" ca="1" si="41"/>
        <v>0.16999999999999993</v>
      </c>
      <c r="K197" s="1">
        <f t="shared" ca="1" si="33"/>
        <v>0.31069999999999987</v>
      </c>
      <c r="L197" s="2">
        <f t="shared" ca="1" si="42"/>
        <v>0.21508218125151357</v>
      </c>
      <c r="M197">
        <f t="shared" ca="1" si="30"/>
        <v>4.1720244683955014E-2</v>
      </c>
      <c r="N197">
        <f t="shared" ca="1" si="34"/>
        <v>78411856.799999997</v>
      </c>
      <c r="O197">
        <f t="shared" ca="1" si="35"/>
        <v>11.864999999999998</v>
      </c>
      <c r="P197">
        <f t="shared" ca="1" si="36"/>
        <v>0.36553493605082976</v>
      </c>
      <c r="Q197">
        <f t="shared" ca="1" si="37"/>
        <v>12.596069872101658</v>
      </c>
      <c r="R197">
        <f t="shared" ca="1" si="38"/>
        <v>11.133930127898338</v>
      </c>
    </row>
    <row r="198" spans="1:18" x14ac:dyDescent="0.25">
      <c r="A198" vm="798">
        <f ca="1"/>
        <v>45944</v>
      </c>
      <c r="B198" vm="540">
        <f ca="1"/>
        <v>11.65</v>
      </c>
      <c r="C198" vm="519">
        <f ca="1"/>
        <v>11.38</v>
      </c>
      <c r="D198" vm="547">
        <f ca="1"/>
        <v>11.76</v>
      </c>
      <c r="E198" vm="799">
        <f ca="1"/>
        <v>11.34</v>
      </c>
      <c r="F198" vm="800">
        <f ca="1"/>
        <v>89117946</v>
      </c>
      <c r="G198" s="1">
        <f t="shared" ca="1" si="29"/>
        <v>11.780000000000001</v>
      </c>
      <c r="H198" s="1">
        <f t="shared" ca="1" si="40"/>
        <v>11.866999999999999</v>
      </c>
      <c r="I198" s="1">
        <f t="shared" ca="1" si="39"/>
        <v>11.6732</v>
      </c>
      <c r="J198">
        <f t="shared" ca="1" si="41"/>
        <v>0.41999999999999993</v>
      </c>
      <c r="K198" s="1">
        <f t="shared" ca="1" si="33"/>
        <v>0.31819999999999987</v>
      </c>
      <c r="L198" s="2">
        <f t="shared" ca="1" si="42"/>
        <v>0.22666442041422319</v>
      </c>
      <c r="M198">
        <f t="shared" ca="1" si="30"/>
        <v>4.1602666413311576E-2</v>
      </c>
      <c r="N198">
        <f t="shared" ca="1" si="34"/>
        <v>79964505.599999994</v>
      </c>
      <c r="O198">
        <f t="shared" ca="1" si="35"/>
        <v>11.866999999999999</v>
      </c>
      <c r="P198">
        <f t="shared" ca="1" si="36"/>
        <v>0.36417318031831758</v>
      </c>
      <c r="Q198">
        <f t="shared" ca="1" si="37"/>
        <v>12.595346360636634</v>
      </c>
      <c r="R198">
        <f t="shared" ca="1" si="38"/>
        <v>11.138653639363364</v>
      </c>
    </row>
    <row r="199" spans="1:18" x14ac:dyDescent="0.25">
      <c r="A199" vm="801">
        <f ca="1"/>
        <v>45945</v>
      </c>
      <c r="B199" vm="547">
        <f ca="1"/>
        <v>11.76</v>
      </c>
      <c r="C199" vm="802">
        <f ca="1"/>
        <v>11.675000000000001</v>
      </c>
      <c r="D199" vm="524">
        <f ca="1"/>
        <v>11.78</v>
      </c>
      <c r="E199" vm="542">
        <f ca="1"/>
        <v>11.64</v>
      </c>
      <c r="F199" vm="803">
        <f ca="1"/>
        <v>88960726</v>
      </c>
      <c r="G199" s="1">
        <f t="shared" ca="1" si="29"/>
        <v>11.645714285714286</v>
      </c>
      <c r="H199" s="1">
        <f t="shared" ca="1" si="40"/>
        <v>11.871999999999998</v>
      </c>
      <c r="I199" s="1">
        <f t="shared" ca="1" si="39"/>
        <v>11.687200000000001</v>
      </c>
      <c r="J199">
        <f t="shared" ca="1" si="41"/>
        <v>0.13999999999999879</v>
      </c>
      <c r="K199" s="1">
        <f t="shared" ca="1" si="33"/>
        <v>0.30869999999999981</v>
      </c>
      <c r="L199" s="2">
        <f t="shared" ca="1" si="42"/>
        <v>0.23824665957693258</v>
      </c>
      <c r="M199">
        <f t="shared" ca="1" si="30"/>
        <v>4.0890374120676136E-2</v>
      </c>
      <c r="N199">
        <f t="shared" ca="1" si="34"/>
        <v>80983244.650000006</v>
      </c>
      <c r="O199">
        <f t="shared" ca="1" si="35"/>
        <v>11.871999999999998</v>
      </c>
      <c r="P199">
        <f t="shared" ca="1" si="36"/>
        <v>0.36186068851802183</v>
      </c>
      <c r="Q199">
        <f t="shared" ca="1" si="37"/>
        <v>12.595721377036043</v>
      </c>
      <c r="R199">
        <f t="shared" ca="1" si="38"/>
        <v>11.148278622963954</v>
      </c>
    </row>
    <row r="200" spans="1:18" x14ac:dyDescent="0.25">
      <c r="A200" vm="804">
        <f ca="1"/>
        <v>45946</v>
      </c>
      <c r="B200" vm="676">
        <f ca="1"/>
        <v>11.74</v>
      </c>
      <c r="C200" vm="676">
        <f ca="1"/>
        <v>11.74</v>
      </c>
      <c r="D200" vm="535">
        <f ca="1"/>
        <v>11.79</v>
      </c>
      <c r="E200" vm="542">
        <f ca="1"/>
        <v>11.64</v>
      </c>
      <c r="F200" vm="805">
        <f ca="1"/>
        <v>108701202</v>
      </c>
      <c r="G200" s="1">
        <f t="shared" ca="1" si="29"/>
        <v>11.620000000000001</v>
      </c>
      <c r="H200" s="1">
        <f t="shared" ca="1" si="40"/>
        <v>11.872</v>
      </c>
      <c r="I200" s="1">
        <f t="shared" ca="1" si="39"/>
        <v>11.697799999999999</v>
      </c>
      <c r="J200">
        <f t="shared" ca="1" si="41"/>
        <v>0.14999999999999858</v>
      </c>
      <c r="K200" s="1">
        <f t="shared" ca="1" si="33"/>
        <v>0.3081999999999997</v>
      </c>
      <c r="L200" s="2">
        <f t="shared" ca="1" si="42"/>
        <v>0.2361407979109853</v>
      </c>
      <c r="M200">
        <f t="shared" ca="1" si="30"/>
        <v>4.1282532218282653E-2</v>
      </c>
      <c r="N200">
        <f t="shared" ca="1" si="34"/>
        <v>83666301.599999994</v>
      </c>
      <c r="O200">
        <f t="shared" ca="1" si="35"/>
        <v>11.872</v>
      </c>
      <c r="P200">
        <f t="shared" ca="1" si="36"/>
        <v>0.36186068851802189</v>
      </c>
      <c r="Q200">
        <f t="shared" ca="1" si="37"/>
        <v>12.595721377036044</v>
      </c>
      <c r="R200">
        <f t="shared" ca="1" si="38"/>
        <v>11.148278622963955</v>
      </c>
    </row>
    <row r="201" spans="1:18" x14ac:dyDescent="0.25">
      <c r="A201" vm="806">
        <f ca="1"/>
        <v>45947</v>
      </c>
      <c r="B201" vm="783">
        <f ca="1"/>
        <v>11.92</v>
      </c>
      <c r="C201" vm="676">
        <f ca="1"/>
        <v>11.74</v>
      </c>
      <c r="D201" vm="751">
        <f ca="1"/>
        <v>12.01</v>
      </c>
      <c r="E201" vm="681">
        <f ca="1"/>
        <v>11.72</v>
      </c>
      <c r="F201" vm="807">
        <f ca="1"/>
        <v>107633522</v>
      </c>
      <c r="G201" s="1">
        <f t="shared" ref="G201:G218" ca="1" si="43">AVERAGE(B195:B201)</f>
        <v>11.645714285714286</v>
      </c>
      <c r="H201" s="1">
        <f t="shared" ca="1" si="40"/>
        <v>11.886999999999997</v>
      </c>
      <c r="I201" s="1">
        <f t="shared" ca="1" si="39"/>
        <v>11.710599999999999</v>
      </c>
      <c r="J201">
        <f t="shared" ca="1" si="41"/>
        <v>0.28999999999999915</v>
      </c>
      <c r="K201" s="1">
        <f t="shared" ca="1" si="33"/>
        <v>0.31194999999999967</v>
      </c>
      <c r="L201" s="2">
        <f t="shared" ca="1" si="42"/>
        <v>0.25509355290450975</v>
      </c>
      <c r="M201">
        <f t="shared" ca="1" si="30"/>
        <v>4.1052454616195284E-2</v>
      </c>
      <c r="N201">
        <f t="shared" ca="1" si="34"/>
        <v>85464160.650000006</v>
      </c>
      <c r="O201">
        <f t="shared" ca="1" si="35"/>
        <v>11.886999999999997</v>
      </c>
      <c r="P201">
        <f t="shared" ca="1" si="36"/>
        <v>0.35705078512432192</v>
      </c>
      <c r="Q201">
        <f t="shared" ca="1" si="37"/>
        <v>12.601101570248641</v>
      </c>
      <c r="R201">
        <f t="shared" ca="1" si="38"/>
        <v>11.172898429751353</v>
      </c>
    </row>
    <row r="202" spans="1:18" x14ac:dyDescent="0.25">
      <c r="A202" vm="808">
        <f ca="1"/>
        <v>45950</v>
      </c>
      <c r="B202" vm="692">
        <f ca="1"/>
        <v>11.99</v>
      </c>
      <c r="C202" vm="564">
        <f ca="1"/>
        <v>11.93</v>
      </c>
      <c r="D202" vm="809">
        <f ca="1"/>
        <v>12.08</v>
      </c>
      <c r="E202" vm="550">
        <f ca="1"/>
        <v>11.91</v>
      </c>
      <c r="F202" vm="810">
        <f ca="1"/>
        <v>77878936</v>
      </c>
      <c r="G202" s="1">
        <f t="shared" ca="1" si="43"/>
        <v>11.715714285714284</v>
      </c>
      <c r="H202" s="1">
        <f t="shared" ca="1" si="40"/>
        <v>11.903499999999999</v>
      </c>
      <c r="I202" s="1">
        <f t="shared" ca="1" si="39"/>
        <v>11.724</v>
      </c>
      <c r="J202">
        <f t="shared" ca="1" si="41"/>
        <v>0.16999999999999993</v>
      </c>
      <c r="K202" s="1">
        <f t="shared" ca="1" si="33"/>
        <v>0.3136999999999997</v>
      </c>
      <c r="L202" s="2">
        <f t="shared" ca="1" si="42"/>
        <v>0.26246406873532502</v>
      </c>
      <c r="M202">
        <f t="shared" ca="1" si="30"/>
        <v>4.1078694426565573E-2</v>
      </c>
      <c r="N202">
        <f t="shared" ca="1" si="34"/>
        <v>86436471.950000003</v>
      </c>
      <c r="O202">
        <f t="shared" ca="1" si="35"/>
        <v>11.903499999999999</v>
      </c>
      <c r="P202">
        <f t="shared" ca="1" si="36"/>
        <v>0.35361702447704635</v>
      </c>
      <c r="Q202">
        <f t="shared" ca="1" si="37"/>
        <v>12.610734048954091</v>
      </c>
      <c r="R202">
        <f t="shared" ca="1" si="38"/>
        <v>11.196265951045907</v>
      </c>
    </row>
    <row r="203" spans="1:18" x14ac:dyDescent="0.25">
      <c r="A203" vm="811">
        <f ca="1"/>
        <v>45951</v>
      </c>
      <c r="B203" vm="812">
        <f ca="1"/>
        <v>12.56</v>
      </c>
      <c r="C203" vm="813">
        <f ca="1"/>
        <v>12.255000000000001</v>
      </c>
      <c r="D203" vm="778">
        <f ca="1"/>
        <v>12.63</v>
      </c>
      <c r="E203" vm="814">
        <f ca="1"/>
        <v>12.07</v>
      </c>
      <c r="F203" vm="815">
        <f ca="1"/>
        <v>297153158</v>
      </c>
      <c r="G203" s="1">
        <f t="shared" ca="1" si="43"/>
        <v>11.879999999999999</v>
      </c>
      <c r="H203" s="1">
        <f t="shared" ca="1" si="40"/>
        <v>11.945</v>
      </c>
      <c r="I203" s="1">
        <f t="shared" ca="1" si="39"/>
        <v>11.7524</v>
      </c>
      <c r="J203">
        <f t="shared" ca="1" si="41"/>
        <v>0.5600000000000005</v>
      </c>
      <c r="K203" s="1">
        <f t="shared" ca="1" si="33"/>
        <v>0.32994999999999974</v>
      </c>
      <c r="L203" s="2">
        <f t="shared" ca="1" si="42"/>
        <v>0.32248112621481906</v>
      </c>
      <c r="M203">
        <f t="shared" ca="1" si="30"/>
        <v>4.3647865149352059E-2</v>
      </c>
      <c r="N203">
        <f t="shared" ca="1" si="34"/>
        <v>98510752.25</v>
      </c>
      <c r="O203">
        <f t="shared" ca="1" si="35"/>
        <v>11.945</v>
      </c>
      <c r="P203">
        <f t="shared" ca="1" si="36"/>
        <v>0.37990996163218521</v>
      </c>
      <c r="Q203">
        <f t="shared" ca="1" si="37"/>
        <v>12.70481992326437</v>
      </c>
      <c r="R203">
        <f t="shared" ca="1" si="38"/>
        <v>11.18518007673563</v>
      </c>
    </row>
    <row r="204" spans="1:18" x14ac:dyDescent="0.25">
      <c r="A204" vm="816">
        <f ca="1"/>
        <v>45952</v>
      </c>
      <c r="B204" vm="770">
        <f ca="1"/>
        <v>12.43</v>
      </c>
      <c r="C204" vm="785">
        <f ca="1"/>
        <v>12.53</v>
      </c>
      <c r="D204" vm="817">
        <f ca="1"/>
        <v>12.595000000000001</v>
      </c>
      <c r="E204" vm="765">
        <f ca="1"/>
        <v>12.28</v>
      </c>
      <c r="F204" vm="818">
        <f ca="1"/>
        <v>415062173</v>
      </c>
      <c r="G204" s="1">
        <f t="shared" ca="1" si="43"/>
        <v>12.007142857142858</v>
      </c>
      <c r="H204" s="1">
        <f t="shared" ca="1" si="40"/>
        <v>11.984999999999999</v>
      </c>
      <c r="I204" s="1">
        <f t="shared" ca="1" si="39"/>
        <v>11.776</v>
      </c>
      <c r="J204">
        <f t="shared" ca="1" si="41"/>
        <v>0.31500000000000128</v>
      </c>
      <c r="K204" s="1">
        <f t="shared" ca="1" si="33"/>
        <v>0.33369999999999977</v>
      </c>
      <c r="L204" s="2">
        <f t="shared" ca="1" si="42"/>
        <v>0.30879302538616238</v>
      </c>
      <c r="M204">
        <f t="shared" ca="1" si="30"/>
        <v>4.5021007583045905E-2</v>
      </c>
      <c r="N204">
        <f t="shared" ca="1" si="34"/>
        <v>116254171.90000001</v>
      </c>
      <c r="O204">
        <f t="shared" ca="1" si="35"/>
        <v>11.984999999999999</v>
      </c>
      <c r="P204">
        <f t="shared" ca="1" si="36"/>
        <v>0.38704684878951634</v>
      </c>
      <c r="Q204">
        <f t="shared" ca="1" si="37"/>
        <v>12.759093697579033</v>
      </c>
      <c r="R204">
        <f t="shared" ca="1" si="38"/>
        <v>11.210906302420966</v>
      </c>
    </row>
    <row r="205" spans="1:18" x14ac:dyDescent="0.25">
      <c r="A205" vm="819">
        <f ca="1"/>
        <v>45953</v>
      </c>
      <c r="B205" vm="820">
        <f ca="1"/>
        <v>12.34</v>
      </c>
      <c r="C205" vm="821">
        <f ca="1"/>
        <v>12.47</v>
      </c>
      <c r="D205" vm="822">
        <f ca="1"/>
        <v>12.49</v>
      </c>
      <c r="E205" vm="823">
        <f ca="1"/>
        <v>12.19</v>
      </c>
      <c r="F205" vm="824">
        <f ca="1"/>
        <v>479840312</v>
      </c>
      <c r="G205" s="1">
        <f t="shared" ca="1" si="43"/>
        <v>12.105714285714287</v>
      </c>
      <c r="H205" s="1">
        <f t="shared" ca="1" si="40"/>
        <v>12.021000000000001</v>
      </c>
      <c r="I205" s="1">
        <f t="shared" ca="1" si="39"/>
        <v>11.794</v>
      </c>
      <c r="J205">
        <f t="shared" ca="1" si="41"/>
        <v>0.30000000000000071</v>
      </c>
      <c r="K205" s="1">
        <f t="shared" ca="1" si="33"/>
        <v>0.33469999999999978</v>
      </c>
      <c r="L205" s="2">
        <f t="shared" ca="1" si="42"/>
        <v>0.29931664788940027</v>
      </c>
      <c r="M205">
        <f t="shared" ca="1" si="30"/>
        <v>4.1704243133352616E-2</v>
      </c>
      <c r="N205">
        <f t="shared" ca="1" si="34"/>
        <v>136863370.65000001</v>
      </c>
      <c r="O205">
        <f t="shared" ca="1" si="35"/>
        <v>12.021000000000001</v>
      </c>
      <c r="P205">
        <f t="shared" ca="1" si="36"/>
        <v>0.38478839023956773</v>
      </c>
      <c r="Q205">
        <f t="shared" ca="1" si="37"/>
        <v>12.790576780479137</v>
      </c>
      <c r="R205">
        <f t="shared" ca="1" si="38"/>
        <v>11.251423219520865</v>
      </c>
    </row>
    <row r="206" spans="1:18" x14ac:dyDescent="0.25">
      <c r="A206" vm="825">
        <f ca="1"/>
        <v>45954</v>
      </c>
      <c r="B206" vm="826">
        <f ca="1"/>
        <v>13.84</v>
      </c>
      <c r="C206" vm="827">
        <f ca="1"/>
        <v>12.73</v>
      </c>
      <c r="D206" vm="828">
        <f ca="1"/>
        <v>13.97</v>
      </c>
      <c r="E206" vm="829">
        <f ca="1"/>
        <v>12.71</v>
      </c>
      <c r="F206" vm="830">
        <f ca="1"/>
        <v>298366862</v>
      </c>
      <c r="G206" s="1">
        <f t="shared" ca="1" si="43"/>
        <v>12.402857142857144</v>
      </c>
      <c r="H206" s="1">
        <f t="shared" ca="1" si="40"/>
        <v>12.112500000000001</v>
      </c>
      <c r="I206" s="1">
        <f t="shared" ca="1" si="39"/>
        <v>11.842000000000001</v>
      </c>
      <c r="J206">
        <f t="shared" ca="1" si="41"/>
        <v>1.2599999999999998</v>
      </c>
      <c r="K206" s="1">
        <f t="shared" ca="1" si="33"/>
        <v>0.36444999999999983</v>
      </c>
      <c r="L206" s="2">
        <f t="shared" ca="1" si="42"/>
        <v>0.45725627283543746</v>
      </c>
      <c r="M206">
        <f t="shared" ca="1" si="30"/>
        <v>6.373334168354132E-2</v>
      </c>
      <c r="N206">
        <f t="shared" ca="1" si="34"/>
        <v>145897621.34999999</v>
      </c>
      <c r="O206">
        <f t="shared" ca="1" si="35"/>
        <v>12.112500000000001</v>
      </c>
      <c r="P206">
        <f t="shared" ca="1" si="36"/>
        <v>0.55981082330974696</v>
      </c>
      <c r="Q206">
        <f t="shared" ca="1" si="37"/>
        <v>13.232121646619495</v>
      </c>
      <c r="R206">
        <f t="shared" ca="1" si="38"/>
        <v>10.992878353380506</v>
      </c>
    </row>
    <row r="207" spans="1:18" x14ac:dyDescent="0.25">
      <c r="A207" vm="831">
        <f ca="1"/>
        <v>45957</v>
      </c>
      <c r="B207" vm="832">
        <f ca="1"/>
        <v>13.26</v>
      </c>
      <c r="C207" vm="833">
        <f ca="1"/>
        <v>13.8</v>
      </c>
      <c r="D207" vm="833">
        <f ca="1"/>
        <v>13.8</v>
      </c>
      <c r="E207" vm="834">
        <f ca="1"/>
        <v>13.21</v>
      </c>
      <c r="F207" vm="835">
        <f ca="1"/>
        <v>140859004</v>
      </c>
      <c r="G207" s="1">
        <f t="shared" ca="1" si="43"/>
        <v>12.620000000000001</v>
      </c>
      <c r="H207" s="1">
        <f t="shared" ca="1" si="40"/>
        <v>12.171000000000001</v>
      </c>
      <c r="I207" s="1">
        <f t="shared" ca="1" si="39"/>
        <v>11.878400000000001</v>
      </c>
      <c r="J207">
        <f t="shared" ca="1" si="41"/>
        <v>0.58999999999999986</v>
      </c>
      <c r="K207" s="1">
        <f t="shared" ca="1" si="33"/>
        <v>0.38244999999999985</v>
      </c>
      <c r="L207" s="2">
        <f t="shared" ca="1" si="42"/>
        <v>0.39618628452296978</v>
      </c>
      <c r="M207">
        <f t="shared" ca="1" si="30"/>
        <v>7.184000434051413E-2</v>
      </c>
      <c r="N207">
        <f t="shared" ca="1" si="34"/>
        <v>148774320.94999999</v>
      </c>
      <c r="O207">
        <f t="shared" ca="1" si="35"/>
        <v>12.171000000000001</v>
      </c>
      <c r="P207">
        <f t="shared" ca="1" si="36"/>
        <v>0.61568019723161294</v>
      </c>
      <c r="Q207">
        <f t="shared" ca="1" si="37"/>
        <v>13.402360394463226</v>
      </c>
      <c r="R207">
        <f t="shared" ca="1" si="38"/>
        <v>10.939639605536776</v>
      </c>
    </row>
    <row r="208" spans="1:18" x14ac:dyDescent="0.25">
      <c r="A208" vm="836">
        <f ca="1"/>
        <v>45958</v>
      </c>
      <c r="B208" vm="837">
        <f ca="1"/>
        <v>13.13</v>
      </c>
      <c r="C208" vm="838">
        <f ca="1"/>
        <v>13.24</v>
      </c>
      <c r="D208" vm="839">
        <f ca="1"/>
        <v>13.28</v>
      </c>
      <c r="E208" vm="840">
        <f ca="1"/>
        <v>13.04</v>
      </c>
      <c r="F208" vm="841">
        <f ca="1"/>
        <v>96738451</v>
      </c>
      <c r="G208" s="1">
        <f t="shared" ca="1" si="43"/>
        <v>12.792857142857144</v>
      </c>
      <c r="H208" s="1">
        <f t="shared" ca="1" si="40"/>
        <v>12.2295</v>
      </c>
      <c r="I208" s="1">
        <f t="shared" ca="1" si="39"/>
        <v>11.911799999999998</v>
      </c>
      <c r="J208">
        <f t="shared" ca="1" si="41"/>
        <v>0.24000000000000021</v>
      </c>
      <c r="K208" s="1">
        <f t="shared" ca="1" si="33"/>
        <v>0.3799499999999999</v>
      </c>
      <c r="L208" s="2">
        <f t="shared" ca="1" si="42"/>
        <v>0.38249818369431332</v>
      </c>
      <c r="M208">
        <f t="shared" ref="M208:M218" ca="1" si="44">_xlfn.STDEV.P(L195:L208)</f>
        <v>7.579687959690623E-2</v>
      </c>
      <c r="N208">
        <f t="shared" ca="1" si="34"/>
        <v>150072991.09999999</v>
      </c>
      <c r="O208">
        <f t="shared" ca="1" si="35"/>
        <v>12.2295</v>
      </c>
      <c r="P208">
        <f t="shared" ca="1" si="36"/>
        <v>0.64924632418958228</v>
      </c>
      <c r="Q208">
        <f t="shared" ca="1" si="37"/>
        <v>13.527992648379165</v>
      </c>
      <c r="R208">
        <f t="shared" ca="1" si="38"/>
        <v>10.931007351620835</v>
      </c>
    </row>
    <row r="209" spans="1:18" x14ac:dyDescent="0.25">
      <c r="A209" vm="842">
        <f ca="1"/>
        <v>45959</v>
      </c>
      <c r="B209" vm="838">
        <f ca="1"/>
        <v>13.24</v>
      </c>
      <c r="C209" vm="843">
        <f ca="1"/>
        <v>13.1</v>
      </c>
      <c r="D209" vm="844">
        <f ca="1"/>
        <v>13.39</v>
      </c>
      <c r="E209" vm="845">
        <f ca="1"/>
        <v>13.07</v>
      </c>
      <c r="F209" vm="846">
        <f ca="1"/>
        <v>127512240</v>
      </c>
      <c r="G209" s="1">
        <f t="shared" ca="1" si="43"/>
        <v>12.971428571428572</v>
      </c>
      <c r="H209" s="1">
        <f t="shared" ca="1" si="40"/>
        <v>12.278</v>
      </c>
      <c r="I209" s="1">
        <f t="shared" ca="1" si="39"/>
        <v>11.945</v>
      </c>
      <c r="J209">
        <f t="shared" ca="1" si="41"/>
        <v>0.32000000000000028</v>
      </c>
      <c r="K209" s="1">
        <f t="shared" ca="1" si="33"/>
        <v>0.3839499999999999</v>
      </c>
      <c r="L209" s="2">
        <f t="shared" ca="1" si="42"/>
        <v>0.39408042285702272</v>
      </c>
      <c r="M209">
        <f t="shared" ca="1" si="44"/>
        <v>7.7390270043934756E-2</v>
      </c>
      <c r="N209">
        <f t="shared" ca="1" si="34"/>
        <v>152769681.75</v>
      </c>
      <c r="O209">
        <f t="shared" ca="1" si="35"/>
        <v>12.278</v>
      </c>
      <c r="P209">
        <f t="shared" ca="1" si="36"/>
        <v>0.68753258295994879</v>
      </c>
      <c r="Q209">
        <f t="shared" ca="1" si="37"/>
        <v>13.653065165919898</v>
      </c>
      <c r="R209">
        <f t="shared" ca="1" si="38"/>
        <v>10.902934834080103</v>
      </c>
    </row>
    <row r="210" spans="1:18" x14ac:dyDescent="0.25">
      <c r="A210" vm="847">
        <f ca="1"/>
        <v>45960</v>
      </c>
      <c r="B210" vm="848">
        <f ca="1"/>
        <v>13.06</v>
      </c>
      <c r="C210" vm="849">
        <f ca="1"/>
        <v>13.14</v>
      </c>
      <c r="D210" vm="850">
        <f ca="1"/>
        <v>13.29</v>
      </c>
      <c r="E210" vm="848">
        <f ca="1"/>
        <v>13.06</v>
      </c>
      <c r="F210" vm="851">
        <f ca="1"/>
        <v>80766301</v>
      </c>
      <c r="G210" s="1">
        <f t="shared" ca="1" si="43"/>
        <v>13.042857142857143</v>
      </c>
      <c r="H210" s="1">
        <f t="shared" ca="1" si="40"/>
        <v>12.32</v>
      </c>
      <c r="I210" s="1">
        <f t="shared" ca="1" si="39"/>
        <v>11.976400000000002</v>
      </c>
      <c r="J210">
        <f t="shared" ca="1" si="41"/>
        <v>0.22999999999999865</v>
      </c>
      <c r="K210" s="1">
        <f t="shared" ca="1" si="33"/>
        <v>0.37994999999999984</v>
      </c>
      <c r="L210" s="2">
        <f t="shared" ca="1" si="42"/>
        <v>0.37512766786349827</v>
      </c>
      <c r="M210">
        <f t="shared" ca="1" si="44"/>
        <v>7.4508589130072453E-2</v>
      </c>
      <c r="N210">
        <f t="shared" ca="1" si="34"/>
        <v>153081470.19999999</v>
      </c>
      <c r="O210">
        <f t="shared" ca="1" si="35"/>
        <v>12.32</v>
      </c>
      <c r="P210">
        <f t="shared" ca="1" si="36"/>
        <v>0.70912102745507932</v>
      </c>
      <c r="Q210">
        <f t="shared" ca="1" si="37"/>
        <v>13.73824205491016</v>
      </c>
      <c r="R210">
        <f t="shared" ca="1" si="38"/>
        <v>10.901757945089841</v>
      </c>
    </row>
    <row r="211" spans="1:18" x14ac:dyDescent="0.25">
      <c r="A211" vm="852">
        <f ca="1"/>
        <v>45961</v>
      </c>
      <c r="B211" vm="837">
        <f ca="1"/>
        <v>13.13</v>
      </c>
      <c r="C211" vm="840">
        <f ca="1"/>
        <v>13.04</v>
      </c>
      <c r="D211" vm="853">
        <f ca="1"/>
        <v>13.17</v>
      </c>
      <c r="E211" vm="854">
        <f ca="1"/>
        <v>12.99</v>
      </c>
      <c r="F211" vm="855">
        <f ca="1"/>
        <v>68861988</v>
      </c>
      <c r="G211" s="1">
        <f t="shared" ca="1" si="43"/>
        <v>13.142857142857142</v>
      </c>
      <c r="H211" s="1">
        <f t="shared" ca="1" si="40"/>
        <v>12.343</v>
      </c>
      <c r="I211" s="1">
        <f t="shared" ca="1" si="39"/>
        <v>12.0124</v>
      </c>
      <c r="J211">
        <f t="shared" ca="1" si="41"/>
        <v>0.17999999999999972</v>
      </c>
      <c r="K211" s="1">
        <f t="shared" ca="1" si="33"/>
        <v>0.36544999999999978</v>
      </c>
      <c r="L211" s="2">
        <f t="shared" ca="1" si="42"/>
        <v>0.38249818369431332</v>
      </c>
      <c r="M211">
        <f t="shared" ca="1" si="44"/>
        <v>7.1345291052074003E-2</v>
      </c>
      <c r="N211">
        <f t="shared" ca="1" si="34"/>
        <v>151485641.69999999</v>
      </c>
      <c r="O211">
        <f t="shared" ca="1" si="35"/>
        <v>12.343</v>
      </c>
      <c r="P211">
        <f t="shared" ca="1" si="36"/>
        <v>0.72827192723597423</v>
      </c>
      <c r="Q211">
        <f t="shared" ca="1" si="37"/>
        <v>13.799543854471949</v>
      </c>
      <c r="R211">
        <f t="shared" ca="1" si="38"/>
        <v>10.886456145528051</v>
      </c>
    </row>
    <row r="212" spans="1:18" x14ac:dyDescent="0.25">
      <c r="A212" vm="856">
        <f ca="1"/>
        <v>45964</v>
      </c>
      <c r="B212" vm="857">
        <f ca="1"/>
        <v>13.01</v>
      </c>
      <c r="C212" vm="843">
        <f ca="1"/>
        <v>13.1</v>
      </c>
      <c r="D212" vm="843">
        <f ca="1"/>
        <v>13.1</v>
      </c>
      <c r="E212" vm="858">
        <f ca="1"/>
        <v>12.9</v>
      </c>
      <c r="F212" vm="859">
        <f ca="1"/>
        <v>80419403</v>
      </c>
      <c r="G212" s="1">
        <f t="shared" ca="1" si="43"/>
        <v>13.238571428571429</v>
      </c>
      <c r="H212" s="1">
        <f t="shared" ca="1" si="40"/>
        <v>12.358499999999999</v>
      </c>
      <c r="I212" s="1">
        <f t="shared" ref="I212:I217" ca="1" si="45">AVERAGE(B163:B212)</f>
        <v>12.037799999999999</v>
      </c>
      <c r="J212">
        <f t="shared" ca="1" si="41"/>
        <v>0.19999999999999929</v>
      </c>
      <c r="K212" s="1">
        <f t="shared" ca="1" si="33"/>
        <v>0.35944999999999971</v>
      </c>
      <c r="L212" s="2">
        <f t="shared" ca="1" si="42"/>
        <v>0.36986301369863028</v>
      </c>
      <c r="M212">
        <f t="shared" ca="1" si="44"/>
        <v>6.6766797047457166E-2</v>
      </c>
      <c r="N212">
        <f t="shared" ca="1" si="34"/>
        <v>150979365</v>
      </c>
      <c r="O212">
        <f t="shared" ca="1" si="35"/>
        <v>12.358499999999999</v>
      </c>
      <c r="P212">
        <f t="shared" ca="1" si="36"/>
        <v>0.73948257158922337</v>
      </c>
      <c r="Q212">
        <f t="shared" ca="1" si="37"/>
        <v>13.837465143178447</v>
      </c>
      <c r="R212">
        <f t="shared" ca="1" si="38"/>
        <v>10.879534856821552</v>
      </c>
    </row>
    <row r="213" spans="1:18" x14ac:dyDescent="0.25">
      <c r="A213" vm="860">
        <f ca="1"/>
        <v>45965</v>
      </c>
      <c r="B213" vm="861">
        <f ca="1"/>
        <v>12.79</v>
      </c>
      <c r="C213" vm="862">
        <f ca="1"/>
        <v>12.91</v>
      </c>
      <c r="D213" vm="863">
        <f ca="1"/>
        <v>12.93</v>
      </c>
      <c r="E213" vm="864">
        <f ca="1"/>
        <v>12.75</v>
      </c>
      <c r="F213" vm="865">
        <f ca="1"/>
        <v>70360611</v>
      </c>
      <c r="G213" s="1">
        <f t="shared" ca="1" si="43"/>
        <v>13.088571428571429</v>
      </c>
      <c r="H213" s="1">
        <f t="shared" ca="1" si="40"/>
        <v>12.401999999999999</v>
      </c>
      <c r="I213" s="1">
        <f t="shared" ca="1" si="45"/>
        <v>12.057199999999998</v>
      </c>
      <c r="J213">
        <f t="shared" ca="1" si="41"/>
        <v>0.17999999999999972</v>
      </c>
      <c r="K213" s="1">
        <f t="shared" ca="1" si="33"/>
        <v>0.32894999999999974</v>
      </c>
      <c r="L213" s="2">
        <f t="shared" ca="1" si="42"/>
        <v>0.34669853537321127</v>
      </c>
      <c r="M213">
        <f t="shared" ca="1" si="44"/>
        <v>6.1236666323809218E-2</v>
      </c>
      <c r="N213">
        <f t="shared" ca="1" si="34"/>
        <v>146777887.84999999</v>
      </c>
      <c r="O213">
        <f t="shared" ca="1" si="35"/>
        <v>12.401999999999999</v>
      </c>
      <c r="P213">
        <f t="shared" ca="1" si="36"/>
        <v>0.73791741086869478</v>
      </c>
      <c r="Q213">
        <f t="shared" ca="1" si="37"/>
        <v>13.877834821737389</v>
      </c>
      <c r="R213">
        <f t="shared" ca="1" si="38"/>
        <v>10.926165178262609</v>
      </c>
    </row>
    <row r="214" spans="1:18" x14ac:dyDescent="0.25">
      <c r="A214" vm="866">
        <f ca="1"/>
        <v>45966</v>
      </c>
      <c r="B214" vm="867">
        <f ca="1"/>
        <v>13.11</v>
      </c>
      <c r="C214" vm="868">
        <f ca="1"/>
        <v>12.92</v>
      </c>
      <c r="D214" vm="869">
        <f ca="1"/>
        <v>13.305</v>
      </c>
      <c r="E214" vm="870">
        <f ca="1"/>
        <v>12.88</v>
      </c>
      <c r="F214" vm="871">
        <f ca="1"/>
        <v>79134307</v>
      </c>
      <c r="G214" s="1">
        <f t="shared" ca="1" si="43"/>
        <v>13.067142857142859</v>
      </c>
      <c r="H214" s="1">
        <f t="shared" ref="H214:H217" ca="1" si="46">AVERAGE(B195:B214)</f>
        <v>12.470499999999998</v>
      </c>
      <c r="I214" s="1">
        <f t="shared" ca="1" si="45"/>
        <v>12.082599999999999</v>
      </c>
      <c r="J214">
        <f t="shared" ca="1" si="41"/>
        <v>0.42499999999999893</v>
      </c>
      <c r="K214" s="1">
        <f t="shared" ca="1" si="33"/>
        <v>0.33349999999999974</v>
      </c>
      <c r="L214" s="2">
        <f t="shared" ca="1" si="42"/>
        <v>0.38039232202836604</v>
      </c>
      <c r="M214">
        <f t="shared" ca="1" si="44"/>
        <v>5.4294323806173377E-2</v>
      </c>
      <c r="N214">
        <f t="shared" ca="1" si="34"/>
        <v>146811120.55000001</v>
      </c>
      <c r="O214">
        <f t="shared" ca="1" si="35"/>
        <v>12.470499999999998</v>
      </c>
      <c r="P214">
        <f t="shared" ca="1" si="36"/>
        <v>0.73681730221412778</v>
      </c>
      <c r="Q214">
        <f t="shared" ca="1" si="37"/>
        <v>13.944134604428253</v>
      </c>
      <c r="R214">
        <f t="shared" ca="1" si="38"/>
        <v>10.996865395571742</v>
      </c>
    </row>
    <row r="215" spans="1:18" x14ac:dyDescent="0.25">
      <c r="A215" vm="872">
        <f ca="1"/>
        <v>45967</v>
      </c>
      <c r="B215" vm="873">
        <f ca="1"/>
        <v>13.12</v>
      </c>
      <c r="C215" vm="849">
        <f ca="1"/>
        <v>13.14</v>
      </c>
      <c r="D215" vm="832">
        <f ca="1"/>
        <v>13.26</v>
      </c>
      <c r="E215" vm="874">
        <f ca="1"/>
        <v>12.98</v>
      </c>
      <c r="F215" vm="875">
        <f ca="1"/>
        <v>82291049</v>
      </c>
      <c r="G215" s="1">
        <f t="shared" ca="1" si="43"/>
        <v>13.065714285714284</v>
      </c>
      <c r="H215" s="1">
        <f t="shared" ca="1" si="46"/>
        <v>12.551499999999999</v>
      </c>
      <c r="I215" s="1">
        <f t="shared" ca="1" si="45"/>
        <v>12.106799999999998</v>
      </c>
      <c r="J215">
        <f t="shared" ca="1" si="41"/>
        <v>0.27999999999999936</v>
      </c>
      <c r="K215" s="1">
        <f t="shared" ref="K215:K217" ca="1" si="47">AVERAGE(J196:J215)</f>
        <v>0.33299999999999974</v>
      </c>
      <c r="L215" s="2">
        <f t="shared" ca="1" si="42"/>
        <v>0.38144525286133968</v>
      </c>
      <c r="M215">
        <f t="shared" ca="1" si="44"/>
        <v>4.7449468009678641E-2</v>
      </c>
      <c r="N215">
        <f t="shared" ref="N215:N218" ca="1" si="48">AVERAGE(F196:F215)</f>
        <v>147409648.84999999</v>
      </c>
      <c r="O215">
        <f t="shared" ref="O215:O218" ca="1" si="49">AVERAGE(B196:B215)</f>
        <v>12.551499999999999</v>
      </c>
      <c r="P215">
        <f t="shared" ref="P215:P218" ca="1" si="50">_xlfn.STDEV.S(B196:B215)</f>
        <v>0.71317876256126778</v>
      </c>
      <c r="Q215">
        <f t="shared" ref="Q215:Q219" ca="1" si="51">O215 + (2 * P215)</f>
        <v>13.977857525122534</v>
      </c>
      <c r="R215">
        <f t="shared" ref="R215:R219" ca="1" si="52">O215 - (2 * P215)</f>
        <v>11.125142474877464</v>
      </c>
    </row>
    <row r="216" spans="1:18" x14ac:dyDescent="0.25">
      <c r="A216" vm="876">
        <f ca="1"/>
        <v>45968</v>
      </c>
      <c r="B216" vm="834">
        <f ca="1"/>
        <v>13.21</v>
      </c>
      <c r="C216" vm="877">
        <f ca="1"/>
        <v>12.96</v>
      </c>
      <c r="D216" vm="838">
        <f ca="1"/>
        <v>13.24</v>
      </c>
      <c r="E216" vm="878">
        <f ca="1"/>
        <v>12.95</v>
      </c>
      <c r="F216" vm="879">
        <f ca="1"/>
        <v>80011318</v>
      </c>
      <c r="G216" s="1">
        <f t="shared" ca="1" si="43"/>
        <v>13.061428571428573</v>
      </c>
      <c r="H216" s="1">
        <f t="shared" ca="1" si="46"/>
        <v>12.641500000000001</v>
      </c>
      <c r="I216" s="1">
        <f t="shared" ca="1" si="45"/>
        <v>12.136799999999999</v>
      </c>
      <c r="J216">
        <f t="shared" ca="1" si="41"/>
        <v>0.29000000000000092</v>
      </c>
      <c r="K216" s="1">
        <f t="shared" ca="1" si="47"/>
        <v>0.3354999999999998</v>
      </c>
      <c r="L216" s="2">
        <f t="shared" ca="1" si="42"/>
        <v>0.39092163035810201</v>
      </c>
      <c r="M216">
        <f t="shared" ca="1" si="44"/>
        <v>3.9128018737137935E-2</v>
      </c>
      <c r="N216">
        <f t="shared" ca="1" si="48"/>
        <v>147180444.65000001</v>
      </c>
      <c r="O216">
        <f t="shared" ca="1" si="49"/>
        <v>12.641500000000001</v>
      </c>
      <c r="P216">
        <f t="shared" ca="1" si="50"/>
        <v>0.67404728086544885</v>
      </c>
      <c r="Q216">
        <f t="shared" ca="1" si="51"/>
        <v>13.989594561730899</v>
      </c>
      <c r="R216">
        <f t="shared" ca="1" si="52"/>
        <v>11.293405438269103</v>
      </c>
    </row>
    <row r="217" spans="1:18" x14ac:dyDescent="0.25">
      <c r="A217" vm="880">
        <f ca="1"/>
        <v>45971</v>
      </c>
      <c r="B217" vm="881">
        <f ca="1"/>
        <v>13.16</v>
      </c>
      <c r="C217" vm="882">
        <f ca="1"/>
        <v>13.23</v>
      </c>
      <c r="D217" vm="883">
        <f ca="1"/>
        <v>13.234999999999999</v>
      </c>
      <c r="E217" vm="884">
        <f ca="1"/>
        <v>13</v>
      </c>
      <c r="F217" vm="885">
        <f ca="1"/>
        <v>62051157</v>
      </c>
      <c r="G217" s="1">
        <f t="shared" ca="1" si="43"/>
        <v>13.075714285714286</v>
      </c>
      <c r="H217" s="1">
        <f t="shared" ca="1" si="46"/>
        <v>12.722500000000002</v>
      </c>
      <c r="I217" s="1">
        <f t="shared" ca="1" si="45"/>
        <v>12.1646</v>
      </c>
      <c r="J217">
        <f t="shared" ca="1" si="41"/>
        <v>0.23499999999999943</v>
      </c>
      <c r="K217" s="1">
        <f t="shared" ca="1" si="47"/>
        <v>0.33874999999999977</v>
      </c>
      <c r="L217" s="2">
        <f t="shared" ca="1" si="42"/>
        <v>0.38565697619323402</v>
      </c>
      <c r="M217">
        <f t="shared" ca="1" si="44"/>
        <v>3.6905111509767552E-2</v>
      </c>
      <c r="N217">
        <f t="shared" ca="1" si="48"/>
        <v>146586033.30000001</v>
      </c>
      <c r="O217">
        <f t="shared" ca="1" si="49"/>
        <v>12.722500000000002</v>
      </c>
      <c r="P217">
        <f t="shared" ca="1" si="50"/>
        <v>0.63065442200939181</v>
      </c>
      <c r="Q217">
        <f t="shared" ca="1" si="51"/>
        <v>13.983808844018785</v>
      </c>
      <c r="R217">
        <f t="shared" ca="1" si="52"/>
        <v>11.461191155981219</v>
      </c>
    </row>
    <row r="218" spans="1:18" x14ac:dyDescent="0.25">
      <c r="A218" vm="886">
        <f ca="1"/>
        <v>45972</v>
      </c>
      <c r="B218" vm="887">
        <f ca="1"/>
        <v>13.3</v>
      </c>
      <c r="C218" vm="888">
        <f ca="1"/>
        <v>13.19</v>
      </c>
      <c r="D218" vm="889">
        <f ca="1"/>
        <v>13.44</v>
      </c>
      <c r="E218" vm="888">
        <f ca="1"/>
        <v>13.19</v>
      </c>
      <c r="F218" vm="890">
        <f ca="1"/>
        <v>79742405</v>
      </c>
      <c r="G218" s="1">
        <f t="shared" ca="1" si="43"/>
        <v>13.099999999999998</v>
      </c>
      <c r="M218">
        <f t="shared" ca="1" si="44"/>
        <v>3.3212361871574302E-2</v>
      </c>
      <c r="N218">
        <f t="shared" ca="1" si="48"/>
        <v>146117256.25</v>
      </c>
      <c r="O218">
        <f t="shared" ca="1" si="49"/>
        <v>12.805000000000001</v>
      </c>
      <c r="P218">
        <f t="shared" ca="1" si="50"/>
        <v>0.58955380094655185</v>
      </c>
      <c r="Q218">
        <f t="shared" ca="1" si="51"/>
        <v>13.984107601893106</v>
      </c>
      <c r="R218">
        <f t="shared" ca="1" si="52"/>
        <v>11.625892398106897</v>
      </c>
    </row>
    <row r="219" spans="1:18" x14ac:dyDescent="0.25">
      <c r="A219" vm="891">
        <f ca="1"/>
        <v>45973</v>
      </c>
      <c r="B219" vm="892">
        <f ca="1"/>
        <v>13.45</v>
      </c>
      <c r="C219" vm="887">
        <f ca="1"/>
        <v>13.3</v>
      </c>
      <c r="D219" vm="893">
        <f ca="1"/>
        <v>13.5</v>
      </c>
      <c r="E219" vm="887">
        <f ca="1"/>
        <v>13.3</v>
      </c>
      <c r="F219" vm="894">
        <f ca="1"/>
        <v>61840461</v>
      </c>
      <c r="Q219">
        <f t="shared" si="51"/>
        <v>0</v>
      </c>
      <c r="R219">
        <f t="shared" si="52"/>
        <v>0</v>
      </c>
    </row>
  </sheetData>
  <mergeCells count="3">
    <mergeCell ref="A1:F1"/>
    <mergeCell ref="G1:N1"/>
    <mergeCell ref="O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2C68-36D6-4B6F-98C2-9A7FE9152F41}">
  <dimension ref="A1"/>
  <sheetViews>
    <sheetView zoomScale="85" zoomScaleNormal="85" workbookViewId="0">
      <selection activeCell="J31" sqref="J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Stocks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2025-11-14T00:21:45Z</dcterms:modified>
</cp:coreProperties>
</file>