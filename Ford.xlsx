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stock_analysis_excel\"/>
    </mc:Choice>
  </mc:AlternateContent>
  <xr:revisionPtr revIDLastSave="0" documentId="13_ncr:9_{95C8F930-A451-4AC5-86FA-6DCE6B909046}" xr6:coauthVersionLast="47" xr6:coauthVersionMax="47" xr10:uidLastSave="{00000000-0000-0000-0000-000000000000}"/>
  <bookViews>
    <workbookView xWindow="-120" yWindow="-120" windowWidth="20730" windowHeight="11040" xr2:uid="{63C7D699-C262-4620-862A-526FEB209343}"/>
  </bookViews>
  <sheets>
    <sheet name="Ford" sheetId="1" r:id="rId1"/>
  </sheets>
  <calcPr calcId="0"/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5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2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<sst xmlns="http://schemas.openxmlformats.org/spreadsheetml/2006/main" count="11" uniqueCount="11">
  <si>
    <t>Date</t>
  </si>
  <si>
    <t>Open</t>
  </si>
  <si>
    <t>High</t>
  </si>
  <si>
    <t>Low</t>
  </si>
  <si>
    <t>Vol.</t>
  </si>
  <si>
    <t>Change %</t>
  </si>
  <si>
    <t>Close</t>
  </si>
  <si>
    <t>HiLo</t>
  </si>
  <si>
    <t>20 Day</t>
  </si>
  <si>
    <t>50 Day</t>
  </si>
  <si>
    <t>CumDailyRet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</si>
</sst>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165" fontId="0" fillId="0" borderId="0" xfId="0" applyNumberFormat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numFmt numFmtId="14" formatCode="0.00%"/>
    </dxf>
    <dxf>
      <numFmt numFmtId="0" formatCode="General"/>
    </dxf>
    <dxf>
      <numFmt numFmtId="14" formatCode="0.00%"/>
    </dxf>
    <dxf>
      <numFmt numFmtId="165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AAD9E6-9EC9-4399-B241-6A4A4F1A2B89}" name="Table1" displayName="Table1" ref="A1:K217" totalsRowShown="0">
  <autoFilter ref="A1:K217" xr:uid="{48AAD9E6-9EC9-4399-B241-6A4A4F1A2B89}"/>
  <sortState xmlns:xlrd2="http://schemas.microsoft.com/office/spreadsheetml/2017/richdata2" ref="A2:H217">
    <sortCondition ref="A1:A217"/>
  </sortState>
  <tableColumns count="11">
    <tableColumn id="1" xr3:uid="{D86C04EE-258E-4374-B8F8-41912D06E0B8}" name="Date" dataDxfId="3"/>
    <tableColumn id="2" xr3:uid="{1AEAF3F9-7B45-43D9-A387-48402A54B981}" name="Close"/>
    <tableColumn id="3" xr3:uid="{2BA52760-A8B2-4C92-A2C9-5EA3B836BB5A}" name="Open"/>
    <tableColumn id="4" xr3:uid="{F51ECF9E-0EE2-4AAE-8FCF-E1C799D98DDC}" name="High"/>
    <tableColumn id="5" xr3:uid="{30B67C39-61E8-4328-A80B-887B6FF67ECD}" name="Low"/>
    <tableColumn id="6" xr3:uid="{6623FA4F-C164-4BE6-B19E-5C558F5BB321}" name="Vol."/>
    <tableColumn id="7" xr3:uid="{8296DFCD-06E4-4400-BEAD-81074F0F549B}" name="Change %" dataDxfId="2"/>
    <tableColumn id="8" xr3:uid="{02F01787-4737-4127-983D-A65F885B0C0F}" name="HiLo" dataDxfId="1">
      <calculatedColumnFormula>Table1[[#This Row],[High]]-Table1[[#This Row],[Low]]</calculatedColumnFormula>
    </tableColumn>
    <tableColumn id="12" xr3:uid="{CC34B6F1-5C60-48D4-9796-D17295AC6DAE}" name="20 Day"/>
    <tableColumn id="13" xr3:uid="{EF601AC6-DA75-42D4-9655-97E220D01D96}" name="50 Day"/>
    <tableColumn id="14" xr3:uid="{C6975EA0-F7D1-4D46-8F90-0AA14EE6D3A8}" name="CumDailyRet" dataDxfId="0" dataCellStyle="Percent">
      <calculatedColumnFormula>(B2/$B$2)-1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F40D1-EA37-4591-9078-BB4C775460E0}">
  <dimension ref="A1:K217"/>
  <sheetViews>
    <sheetView tabSelected="1" workbookViewId="0">
      <selection activeCell="N5" sqref="N5"/>
    </sheetView>
  </sheetViews>
  <sheetFormatPr defaultRowHeight="15" x14ac:dyDescent="0.25"/>
  <cols>
    <col min="1" max="1" width="10.42578125" style="2" bestFit="1" customWidth="1"/>
    <col min="7" max="7" width="12" customWidth="1"/>
    <col min="11" max="11" width="9.140625" style="3"/>
  </cols>
  <sheetData>
    <row r="1" spans="1:11" x14ac:dyDescent="0.25">
      <c r="A1" s="2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s="3" t="s">
        <v>10</v>
      </c>
    </row>
    <row r="2" spans="1:11" x14ac:dyDescent="0.25">
      <c r="A2" s="2">
        <v>45659</v>
      </c>
      <c r="B2">
        <v>9.65</v>
      </c>
      <c r="C2">
        <v>9.91</v>
      </c>
      <c r="D2">
        <v>9.9499999999999993</v>
      </c>
      <c r="E2">
        <v>9.64</v>
      </c>
      <c r="F2">
        <v>67.16</v>
      </c>
      <c r="G2" s="1">
        <v>-9.5999999999999992E-3</v>
      </c>
      <c r="H2">
        <f>Table1[[#This Row],[High]]-Table1[[#This Row],[Low]]</f>
        <v>0.30999999999999872</v>
      </c>
      <c r="K2" s="3">
        <f t="shared" ref="K2:K65" si="0">(B2/$B$2)-1</f>
        <v>0</v>
      </c>
    </row>
    <row r="3" spans="1:11" x14ac:dyDescent="0.25">
      <c r="A3" s="2">
        <v>45660</v>
      </c>
      <c r="B3">
        <v>9.7200000000000006</v>
      </c>
      <c r="C3">
        <v>9.5399999999999991</v>
      </c>
      <c r="D3">
        <v>9.7899999999999991</v>
      </c>
      <c r="E3">
        <v>9.3800000000000008</v>
      </c>
      <c r="F3">
        <v>77.25</v>
      </c>
      <c r="G3" s="1">
        <v>7.6E-3</v>
      </c>
      <c r="H3">
        <f>Table1[[#This Row],[High]]-Table1[[#This Row],[Low]]</f>
        <v>0.40999999999999837</v>
      </c>
      <c r="K3" s="3">
        <f t="shared" si="0"/>
        <v>7.2538860103628089E-3</v>
      </c>
    </row>
    <row r="4" spans="1:11" x14ac:dyDescent="0.25">
      <c r="A4" s="2">
        <v>45663</v>
      </c>
      <c r="B4">
        <v>9.76</v>
      </c>
      <c r="C4">
        <v>9.9</v>
      </c>
      <c r="D4">
        <v>10.029999999999999</v>
      </c>
      <c r="E4">
        <v>9.74</v>
      </c>
      <c r="F4">
        <v>63.84</v>
      </c>
      <c r="G4" s="1">
        <v>4.0000000000000001E-3</v>
      </c>
      <c r="H4">
        <f>Table1[[#This Row],[High]]-Table1[[#This Row],[Low]]</f>
        <v>0.28999999999999915</v>
      </c>
      <c r="K4" s="3">
        <f t="shared" si="0"/>
        <v>1.1398963730569811E-2</v>
      </c>
    </row>
    <row r="5" spans="1:11" x14ac:dyDescent="0.25">
      <c r="A5" s="2">
        <v>45664</v>
      </c>
      <c r="B5">
        <v>9.61</v>
      </c>
      <c r="C5">
        <v>9.7899999999999991</v>
      </c>
      <c r="D5">
        <v>9.85</v>
      </c>
      <c r="E5">
        <v>9.57</v>
      </c>
      <c r="F5">
        <v>62.4</v>
      </c>
      <c r="G5" s="1">
        <v>-1.61E-2</v>
      </c>
      <c r="H5">
        <f>Table1[[#This Row],[High]]-Table1[[#This Row],[Low]]</f>
        <v>0.27999999999999936</v>
      </c>
      <c r="K5" s="3">
        <f t="shared" si="0"/>
        <v>-4.1450777202073352E-3</v>
      </c>
    </row>
    <row r="6" spans="1:11" x14ac:dyDescent="0.25">
      <c r="A6" s="2">
        <v>45665</v>
      </c>
      <c r="B6">
        <v>9.59</v>
      </c>
      <c r="C6">
        <v>9.59</v>
      </c>
      <c r="D6">
        <v>9.6</v>
      </c>
      <c r="E6">
        <v>9.43</v>
      </c>
      <c r="F6">
        <v>61.68</v>
      </c>
      <c r="G6" s="1">
        <v>-2E-3</v>
      </c>
      <c r="H6">
        <f>Table1[[#This Row],[High]]-Table1[[#This Row],[Low]]</f>
        <v>0.16999999999999993</v>
      </c>
      <c r="K6" s="3">
        <f t="shared" si="0"/>
        <v>-6.2176165803109473E-3</v>
      </c>
    </row>
    <row r="7" spans="1:11" x14ac:dyDescent="0.25">
      <c r="A7" s="2">
        <v>45667</v>
      </c>
      <c r="B7">
        <v>9.5</v>
      </c>
      <c r="C7">
        <v>9.52</v>
      </c>
      <c r="D7">
        <v>9.68</v>
      </c>
      <c r="E7">
        <v>9.44</v>
      </c>
      <c r="F7">
        <v>73.37</v>
      </c>
      <c r="G7" s="1">
        <v>-9.1999999999999998E-3</v>
      </c>
      <c r="H7">
        <f>Table1[[#This Row],[High]]-Table1[[#This Row],[Low]]</f>
        <v>0.24000000000000021</v>
      </c>
      <c r="K7" s="3">
        <f t="shared" si="0"/>
        <v>-1.5544041450777257E-2</v>
      </c>
    </row>
    <row r="8" spans="1:11" x14ac:dyDescent="0.25">
      <c r="A8" s="2">
        <v>45670</v>
      </c>
      <c r="B8">
        <v>9.56</v>
      </c>
      <c r="C8">
        <v>9.51</v>
      </c>
      <c r="D8">
        <v>9.57</v>
      </c>
      <c r="E8">
        <v>9.42</v>
      </c>
      <c r="F8">
        <v>66.02</v>
      </c>
      <c r="G8" s="1">
        <v>6.1999999999999998E-3</v>
      </c>
      <c r="H8">
        <f>Table1[[#This Row],[High]]-Table1[[#This Row],[Low]]</f>
        <v>0.15000000000000036</v>
      </c>
      <c r="K8" s="3">
        <f t="shared" si="0"/>
        <v>-9.32642487046631E-3</v>
      </c>
    </row>
    <row r="9" spans="1:11" x14ac:dyDescent="0.25">
      <c r="A9" s="2">
        <v>45671</v>
      </c>
      <c r="B9">
        <v>9.6300000000000008</v>
      </c>
      <c r="C9">
        <v>9.6199999999999992</v>
      </c>
      <c r="D9">
        <v>9.66</v>
      </c>
      <c r="E9">
        <v>9.5299999999999994</v>
      </c>
      <c r="F9">
        <v>45.42</v>
      </c>
      <c r="G9" s="1">
        <v>7.1999999999999998E-3</v>
      </c>
      <c r="H9">
        <f>Table1[[#This Row],[High]]-Table1[[#This Row],[Low]]</f>
        <v>0.13000000000000078</v>
      </c>
      <c r="K9" s="3">
        <f t="shared" si="0"/>
        <v>-2.0725388601036121E-3</v>
      </c>
    </row>
    <row r="10" spans="1:11" x14ac:dyDescent="0.25">
      <c r="A10" s="2">
        <v>45672</v>
      </c>
      <c r="B10">
        <v>9.7899999999999991</v>
      </c>
      <c r="C10">
        <v>9.81</v>
      </c>
      <c r="D10">
        <v>9.9</v>
      </c>
      <c r="E10">
        <v>9.73</v>
      </c>
      <c r="F10">
        <v>68.67</v>
      </c>
      <c r="G10" s="1">
        <v>1.7399999999999999E-2</v>
      </c>
      <c r="H10">
        <f>Table1[[#This Row],[High]]-Table1[[#This Row],[Low]]</f>
        <v>0.16999999999999993</v>
      </c>
      <c r="K10" s="3">
        <f t="shared" si="0"/>
        <v>1.4507772020725174E-2</v>
      </c>
    </row>
    <row r="11" spans="1:11" x14ac:dyDescent="0.25">
      <c r="A11" s="2">
        <v>45673</v>
      </c>
      <c r="B11">
        <v>9.85</v>
      </c>
      <c r="C11">
        <v>9.75</v>
      </c>
      <c r="D11">
        <v>9.9</v>
      </c>
      <c r="E11">
        <v>9.73</v>
      </c>
      <c r="F11">
        <v>45.77</v>
      </c>
      <c r="G11" s="1">
        <v>6.0000000000000001E-3</v>
      </c>
      <c r="H11">
        <f>Table1[[#This Row],[High]]-Table1[[#This Row],[Low]]</f>
        <v>0.16999999999999993</v>
      </c>
      <c r="K11" s="3">
        <f t="shared" si="0"/>
        <v>2.0725388601036121E-2</v>
      </c>
    </row>
    <row r="12" spans="1:11" x14ac:dyDescent="0.25">
      <c r="A12" s="2">
        <v>45674</v>
      </c>
      <c r="B12">
        <v>10.02</v>
      </c>
      <c r="C12">
        <v>9.92</v>
      </c>
      <c r="D12">
        <v>10.050000000000001</v>
      </c>
      <c r="E12">
        <v>9.8800000000000008</v>
      </c>
      <c r="F12">
        <v>60.8</v>
      </c>
      <c r="G12" s="1">
        <v>1.7000000000000001E-2</v>
      </c>
      <c r="H12">
        <f>Table1[[#This Row],[High]]-Table1[[#This Row],[Low]]</f>
        <v>0.16999999999999993</v>
      </c>
      <c r="K12" s="3">
        <f t="shared" si="0"/>
        <v>3.8341968911917101E-2</v>
      </c>
    </row>
    <row r="13" spans="1:11" x14ac:dyDescent="0.25">
      <c r="A13" s="2">
        <v>45678</v>
      </c>
      <c r="B13">
        <v>10.26</v>
      </c>
      <c r="C13">
        <v>10.14</v>
      </c>
      <c r="D13">
        <v>10.28</v>
      </c>
      <c r="E13">
        <v>10.08</v>
      </c>
      <c r="F13">
        <v>65.67</v>
      </c>
      <c r="G13" s="1">
        <v>2.46E-2</v>
      </c>
      <c r="H13">
        <f>Table1[[#This Row],[High]]-Table1[[#This Row],[Low]]</f>
        <v>0.19999999999999929</v>
      </c>
      <c r="K13" s="3">
        <f t="shared" si="0"/>
        <v>6.3212435233160669E-2</v>
      </c>
    </row>
    <row r="14" spans="1:11" x14ac:dyDescent="0.25">
      <c r="A14" s="2">
        <v>45679</v>
      </c>
      <c r="B14">
        <v>10.029999999999999</v>
      </c>
      <c r="C14">
        <v>10.25</v>
      </c>
      <c r="D14">
        <v>10.25</v>
      </c>
      <c r="E14">
        <v>10.02</v>
      </c>
      <c r="F14">
        <v>64.95</v>
      </c>
      <c r="G14" s="1">
        <v>-2.29E-2</v>
      </c>
      <c r="H14">
        <f>Table1[[#This Row],[High]]-Table1[[#This Row],[Low]]</f>
        <v>0.23000000000000043</v>
      </c>
      <c r="K14" s="3">
        <f t="shared" si="0"/>
        <v>3.9378238341968741E-2</v>
      </c>
    </row>
    <row r="15" spans="1:11" x14ac:dyDescent="0.25">
      <c r="A15" s="2">
        <v>45680</v>
      </c>
      <c r="B15">
        <v>10</v>
      </c>
      <c r="C15">
        <v>9.89</v>
      </c>
      <c r="D15">
        <v>10.01</v>
      </c>
      <c r="E15">
        <v>9.81</v>
      </c>
      <c r="F15">
        <v>56.24</v>
      </c>
      <c r="G15" s="1">
        <v>-3.0999999999999999E-3</v>
      </c>
      <c r="H15">
        <f>Table1[[#This Row],[High]]-Table1[[#This Row],[Low]]</f>
        <v>0.19999999999999929</v>
      </c>
      <c r="K15" s="3">
        <f t="shared" si="0"/>
        <v>3.6269430051813378E-2</v>
      </c>
    </row>
    <row r="16" spans="1:11" x14ac:dyDescent="0.25">
      <c r="A16" s="2">
        <v>45681</v>
      </c>
      <c r="B16">
        <v>10.119999999999999</v>
      </c>
      <c r="C16">
        <v>10.16</v>
      </c>
      <c r="D16">
        <v>10.31</v>
      </c>
      <c r="E16">
        <v>10.09</v>
      </c>
      <c r="F16">
        <v>42.91</v>
      </c>
      <c r="G16" s="1">
        <v>1.21E-2</v>
      </c>
      <c r="H16">
        <f>Table1[[#This Row],[High]]-Table1[[#This Row],[Low]]</f>
        <v>0.22000000000000064</v>
      </c>
      <c r="K16" s="3">
        <f t="shared" si="0"/>
        <v>4.8704663212435051E-2</v>
      </c>
    </row>
    <row r="17" spans="1:11" x14ac:dyDescent="0.25">
      <c r="A17" s="2">
        <v>45684</v>
      </c>
      <c r="B17">
        <v>10.220000000000001</v>
      </c>
      <c r="C17">
        <v>9.9499999999999993</v>
      </c>
      <c r="D17">
        <v>10.26</v>
      </c>
      <c r="E17">
        <v>9.94</v>
      </c>
      <c r="F17">
        <v>73.08</v>
      </c>
      <c r="G17" s="1">
        <v>9.4999999999999998E-3</v>
      </c>
      <c r="H17">
        <f>Table1[[#This Row],[High]]-Table1[[#This Row],[Low]]</f>
        <v>0.32000000000000028</v>
      </c>
      <c r="K17" s="3">
        <f t="shared" si="0"/>
        <v>5.9067357512953444E-2</v>
      </c>
    </row>
    <row r="18" spans="1:11" x14ac:dyDescent="0.25">
      <c r="A18" s="2">
        <v>45685</v>
      </c>
      <c r="B18">
        <v>9.92</v>
      </c>
      <c r="C18">
        <v>10.07</v>
      </c>
      <c r="D18">
        <v>10.07</v>
      </c>
      <c r="E18">
        <v>9.76</v>
      </c>
      <c r="F18">
        <v>92.18</v>
      </c>
      <c r="G18" s="1">
        <v>-2.8899999999999999E-2</v>
      </c>
      <c r="H18">
        <f>Table1[[#This Row],[High]]-Table1[[#This Row],[Low]]</f>
        <v>0.3100000000000005</v>
      </c>
      <c r="K18" s="3">
        <f t="shared" si="0"/>
        <v>2.797927461139893E-2</v>
      </c>
    </row>
    <row r="19" spans="1:11" x14ac:dyDescent="0.25">
      <c r="A19" s="2">
        <v>45686</v>
      </c>
      <c r="B19">
        <v>10.050000000000001</v>
      </c>
      <c r="C19">
        <v>9.94</v>
      </c>
      <c r="D19">
        <v>10.130000000000001</v>
      </c>
      <c r="E19">
        <v>9.8699999999999992</v>
      </c>
      <c r="F19">
        <v>69.989999999999995</v>
      </c>
      <c r="G19" s="1">
        <v>1.29E-2</v>
      </c>
      <c r="H19">
        <f>Table1[[#This Row],[High]]-Table1[[#This Row],[Low]]</f>
        <v>0.26000000000000156</v>
      </c>
      <c r="K19" s="3">
        <f t="shared" si="0"/>
        <v>4.1450777202072464E-2</v>
      </c>
    </row>
    <row r="20" spans="1:11" x14ac:dyDescent="0.25">
      <c r="A20" s="2">
        <v>45687</v>
      </c>
      <c r="B20">
        <v>10</v>
      </c>
      <c r="C20">
        <v>10.1</v>
      </c>
      <c r="D20">
        <v>10.23</v>
      </c>
      <c r="E20">
        <v>9.9</v>
      </c>
      <c r="F20">
        <v>69.66</v>
      </c>
      <c r="G20" s="1">
        <v>-4.8999999999999998E-3</v>
      </c>
      <c r="H20">
        <f>Table1[[#This Row],[High]]-Table1[[#This Row],[Low]]</f>
        <v>0.33000000000000007</v>
      </c>
      <c r="K20" s="3">
        <f t="shared" si="0"/>
        <v>3.6269430051813378E-2</v>
      </c>
    </row>
    <row r="21" spans="1:11" x14ac:dyDescent="0.25">
      <c r="A21" s="2">
        <v>45688</v>
      </c>
      <c r="B21">
        <v>9.92</v>
      </c>
      <c r="C21">
        <v>10.01</v>
      </c>
      <c r="D21">
        <v>10.19</v>
      </c>
      <c r="E21">
        <v>9.83</v>
      </c>
      <c r="F21">
        <v>103.73</v>
      </c>
      <c r="G21" s="1">
        <v>-7.9000000000000008E-3</v>
      </c>
      <c r="H21">
        <f>Table1[[#This Row],[High]]-Table1[[#This Row],[Low]]</f>
        <v>0.35999999999999943</v>
      </c>
      <c r="K21" s="3">
        <f t="shared" si="0"/>
        <v>2.797927461139893E-2</v>
      </c>
    </row>
    <row r="22" spans="1:11" x14ac:dyDescent="0.25">
      <c r="A22" s="2">
        <v>45691</v>
      </c>
      <c r="B22">
        <v>9.73</v>
      </c>
      <c r="C22">
        <v>9.57</v>
      </c>
      <c r="D22">
        <v>9.9</v>
      </c>
      <c r="E22">
        <v>9.4499999999999993</v>
      </c>
      <c r="F22">
        <v>131.43</v>
      </c>
      <c r="G22" s="1">
        <v>-1.8800000000000001E-2</v>
      </c>
      <c r="H22">
        <f>Table1[[#This Row],[High]]-Table1[[#This Row],[Low]]</f>
        <v>0.45000000000000107</v>
      </c>
      <c r="I22">
        <f>AVERAGE(B2:B22)</f>
        <v>9.853809523809522</v>
      </c>
      <c r="K22" s="3">
        <f t="shared" si="0"/>
        <v>8.2901554404144484E-3</v>
      </c>
    </row>
    <row r="23" spans="1:11" x14ac:dyDescent="0.25">
      <c r="A23" s="2">
        <v>45692</v>
      </c>
      <c r="B23">
        <v>10.16</v>
      </c>
      <c r="C23">
        <v>9.94</v>
      </c>
      <c r="D23">
        <v>10.16</v>
      </c>
      <c r="E23">
        <v>9.9</v>
      </c>
      <c r="F23">
        <v>68.72</v>
      </c>
      <c r="G23" s="1">
        <v>4.3799999999999999E-2</v>
      </c>
      <c r="H23">
        <f>Table1[[#This Row],[High]]-Table1[[#This Row],[Low]]</f>
        <v>0.25999999999999979</v>
      </c>
      <c r="I23">
        <f t="shared" ref="I23:I86" si="1">AVERAGE(B3:B23)</f>
        <v>9.878095238095236</v>
      </c>
      <c r="K23" s="3">
        <f t="shared" si="0"/>
        <v>5.2849740932642497E-2</v>
      </c>
    </row>
    <row r="24" spans="1:11" x14ac:dyDescent="0.25">
      <c r="A24" s="2">
        <v>45693</v>
      </c>
      <c r="B24">
        <v>9.85</v>
      </c>
      <c r="C24">
        <v>10</v>
      </c>
      <c r="D24">
        <v>10.15</v>
      </c>
      <c r="E24">
        <v>9.8000000000000007</v>
      </c>
      <c r="F24">
        <v>124.19</v>
      </c>
      <c r="G24" s="1">
        <v>-3.04E-2</v>
      </c>
      <c r="H24">
        <f>Table1[[#This Row],[High]]-Table1[[#This Row],[Low]]</f>
        <v>0.34999999999999964</v>
      </c>
      <c r="I24">
        <f t="shared" si="1"/>
        <v>9.8842857142857135</v>
      </c>
      <c r="K24" s="3">
        <f t="shared" si="0"/>
        <v>2.0725388601036121E-2</v>
      </c>
    </row>
    <row r="25" spans="1:11" x14ac:dyDescent="0.25">
      <c r="A25" s="2">
        <v>45694</v>
      </c>
      <c r="B25">
        <v>9.11</v>
      </c>
      <c r="C25">
        <v>9.34</v>
      </c>
      <c r="D25">
        <v>9.49</v>
      </c>
      <c r="E25">
        <v>9.11</v>
      </c>
      <c r="F25">
        <v>222.76</v>
      </c>
      <c r="G25" s="1">
        <v>-7.4899999999999994E-2</v>
      </c>
      <c r="H25">
        <f>Table1[[#This Row],[High]]-Table1[[#This Row],[Low]]</f>
        <v>0.38000000000000078</v>
      </c>
      <c r="I25">
        <f t="shared" si="1"/>
        <v>9.8533333333333317</v>
      </c>
      <c r="K25" s="3">
        <f t="shared" si="0"/>
        <v>-5.5958549222797971E-2</v>
      </c>
    </row>
    <row r="26" spans="1:11" x14ac:dyDescent="0.25">
      <c r="A26" s="2">
        <v>45695</v>
      </c>
      <c r="B26">
        <v>9.09</v>
      </c>
      <c r="C26">
        <v>9.18</v>
      </c>
      <c r="D26">
        <v>9.1999999999999993</v>
      </c>
      <c r="E26">
        <v>9.0299999999999994</v>
      </c>
      <c r="F26">
        <v>140.85</v>
      </c>
      <c r="G26" s="1">
        <v>-2.2000000000000001E-3</v>
      </c>
      <c r="H26">
        <f>Table1[[#This Row],[High]]-Table1[[#This Row],[Low]]</f>
        <v>0.16999999999999993</v>
      </c>
      <c r="I26">
        <f t="shared" si="1"/>
        <v>9.8285714285714292</v>
      </c>
      <c r="K26" s="3">
        <f t="shared" si="0"/>
        <v>-5.8031088082901583E-2</v>
      </c>
    </row>
    <row r="27" spans="1:11" x14ac:dyDescent="0.25">
      <c r="A27" s="2">
        <v>45698</v>
      </c>
      <c r="B27">
        <v>9.09</v>
      </c>
      <c r="C27">
        <v>9.1</v>
      </c>
      <c r="D27">
        <v>9.15</v>
      </c>
      <c r="E27">
        <v>8.98</v>
      </c>
      <c r="F27">
        <v>72.17</v>
      </c>
      <c r="G27" s="1">
        <v>0</v>
      </c>
      <c r="H27">
        <f>Table1[[#This Row],[High]]-Table1[[#This Row],[Low]]</f>
        <v>0.16999999999999993</v>
      </c>
      <c r="I27">
        <f t="shared" si="1"/>
        <v>9.8047619047619037</v>
      </c>
      <c r="K27" s="3">
        <f t="shared" si="0"/>
        <v>-5.8031088082901583E-2</v>
      </c>
    </row>
    <row r="28" spans="1:11" x14ac:dyDescent="0.25">
      <c r="A28" s="2">
        <v>45699</v>
      </c>
      <c r="B28">
        <v>9.06</v>
      </c>
      <c r="C28">
        <v>9.06</v>
      </c>
      <c r="D28">
        <v>9.11</v>
      </c>
      <c r="E28">
        <v>9.02</v>
      </c>
      <c r="F28">
        <v>54.84</v>
      </c>
      <c r="G28" s="1">
        <v>-3.2000000000000002E-3</v>
      </c>
      <c r="H28">
        <f>Table1[[#This Row],[High]]-Table1[[#This Row],[Low]]</f>
        <v>8.9999999999999858E-2</v>
      </c>
      <c r="I28">
        <f t="shared" si="1"/>
        <v>9.7838095238095235</v>
      </c>
      <c r="K28" s="3">
        <f t="shared" si="0"/>
        <v>-6.1139896373056946E-2</v>
      </c>
    </row>
    <row r="29" spans="1:11" x14ac:dyDescent="0.25">
      <c r="A29" s="2">
        <v>45700</v>
      </c>
      <c r="B29">
        <v>9.08</v>
      </c>
      <c r="C29">
        <v>9.02</v>
      </c>
      <c r="D29">
        <v>9.14</v>
      </c>
      <c r="E29">
        <v>8.9600000000000009</v>
      </c>
      <c r="F29">
        <v>67.34</v>
      </c>
      <c r="G29" s="1">
        <v>2.2000000000000001E-3</v>
      </c>
      <c r="H29">
        <f>Table1[[#This Row],[High]]-Table1[[#This Row],[Low]]</f>
        <v>0.17999999999999972</v>
      </c>
      <c r="I29">
        <f t="shared" si="1"/>
        <v>9.7609523809523804</v>
      </c>
      <c r="K29" s="3">
        <f t="shared" si="0"/>
        <v>-5.9067357512953444E-2</v>
      </c>
    </row>
    <row r="30" spans="1:11" x14ac:dyDescent="0.25">
      <c r="A30" s="2">
        <v>45701</v>
      </c>
      <c r="B30">
        <v>9.1999999999999993</v>
      </c>
      <c r="C30">
        <v>9.14</v>
      </c>
      <c r="D30">
        <v>9.26</v>
      </c>
      <c r="E30">
        <v>9.09</v>
      </c>
      <c r="F30">
        <v>72.06</v>
      </c>
      <c r="G30" s="1">
        <v>1.2999999999999999E-2</v>
      </c>
      <c r="H30">
        <f>Table1[[#This Row],[High]]-Table1[[#This Row],[Low]]</f>
        <v>0.16999999999999993</v>
      </c>
      <c r="I30">
        <f t="shared" si="1"/>
        <v>9.7404761904761905</v>
      </c>
      <c r="K30" s="3">
        <f t="shared" si="0"/>
        <v>-4.6632124352331661E-2</v>
      </c>
    </row>
    <row r="31" spans="1:11" x14ac:dyDescent="0.25">
      <c r="A31" s="2">
        <v>45702</v>
      </c>
      <c r="B31">
        <v>9.33</v>
      </c>
      <c r="C31">
        <v>9.2799999999999994</v>
      </c>
      <c r="D31">
        <v>9.36</v>
      </c>
      <c r="E31">
        <v>9.24</v>
      </c>
      <c r="F31">
        <v>53.78</v>
      </c>
      <c r="G31" s="1">
        <v>1.3899999999999999E-2</v>
      </c>
      <c r="H31">
        <f>Table1[[#This Row],[High]]-Table1[[#This Row],[Low]]</f>
        <v>0.11999999999999922</v>
      </c>
      <c r="I31">
        <f t="shared" si="1"/>
        <v>9.7185714285714297</v>
      </c>
      <c r="K31" s="3">
        <f t="shared" si="0"/>
        <v>-3.3160621761658016E-2</v>
      </c>
    </row>
    <row r="32" spans="1:11" x14ac:dyDescent="0.25">
      <c r="A32" s="2">
        <v>45706</v>
      </c>
      <c r="B32">
        <v>9.2899999999999991</v>
      </c>
      <c r="C32">
        <v>9.32</v>
      </c>
      <c r="D32">
        <v>9.35</v>
      </c>
      <c r="E32">
        <v>9.23</v>
      </c>
      <c r="F32">
        <v>62.18</v>
      </c>
      <c r="G32" s="1">
        <v>-4.3E-3</v>
      </c>
      <c r="H32">
        <f>Table1[[#This Row],[High]]-Table1[[#This Row],[Low]]</f>
        <v>0.11999999999999922</v>
      </c>
      <c r="I32">
        <f t="shared" si="1"/>
        <v>9.6919047619047625</v>
      </c>
      <c r="K32" s="3">
        <f t="shared" si="0"/>
        <v>-3.7305699481865462E-2</v>
      </c>
    </row>
    <row r="33" spans="1:11" x14ac:dyDescent="0.25">
      <c r="A33" s="2">
        <v>45707</v>
      </c>
      <c r="B33">
        <v>9.34</v>
      </c>
      <c r="C33">
        <v>9.27</v>
      </c>
      <c r="D33">
        <v>9.39</v>
      </c>
      <c r="E33">
        <v>9.2100000000000009</v>
      </c>
      <c r="F33">
        <v>50.19</v>
      </c>
      <c r="G33" s="1">
        <v>5.4000000000000003E-3</v>
      </c>
      <c r="H33">
        <f>Table1[[#This Row],[High]]-Table1[[#This Row],[Low]]</f>
        <v>0.17999999999999972</v>
      </c>
      <c r="I33">
        <f t="shared" si="1"/>
        <v>9.6595238095238098</v>
      </c>
      <c r="K33" s="3">
        <f t="shared" si="0"/>
        <v>-3.2124352331606265E-2</v>
      </c>
    </row>
    <row r="34" spans="1:11" x14ac:dyDescent="0.25">
      <c r="A34" s="2">
        <v>45708</v>
      </c>
      <c r="B34">
        <v>9.39</v>
      </c>
      <c r="C34">
        <v>9.33</v>
      </c>
      <c r="D34">
        <v>9.4</v>
      </c>
      <c r="E34">
        <v>9.2799999999999994</v>
      </c>
      <c r="F34">
        <v>39.79</v>
      </c>
      <c r="G34" s="1">
        <v>5.4000000000000003E-3</v>
      </c>
      <c r="H34">
        <f>Table1[[#This Row],[High]]-Table1[[#This Row],[Low]]</f>
        <v>0.12000000000000099</v>
      </c>
      <c r="I34">
        <f t="shared" si="1"/>
        <v>9.6180952380952398</v>
      </c>
      <c r="K34" s="3">
        <f t="shared" si="0"/>
        <v>-2.6943005181347179E-2</v>
      </c>
    </row>
    <row r="35" spans="1:11" x14ac:dyDescent="0.25">
      <c r="A35" s="2">
        <v>45709</v>
      </c>
      <c r="B35">
        <v>9.2799999999999994</v>
      </c>
      <c r="C35">
        <v>9.3800000000000008</v>
      </c>
      <c r="D35">
        <v>9.41</v>
      </c>
      <c r="E35">
        <v>9.23</v>
      </c>
      <c r="F35">
        <v>58.44</v>
      </c>
      <c r="G35" s="1">
        <v>-1.17E-2</v>
      </c>
      <c r="H35">
        <f>Table1[[#This Row],[High]]-Table1[[#This Row],[Low]]</f>
        <v>0.17999999999999972</v>
      </c>
      <c r="I35">
        <f t="shared" si="1"/>
        <v>9.5823809523809516</v>
      </c>
      <c r="K35" s="3">
        <f t="shared" si="0"/>
        <v>-3.8341968911917212E-2</v>
      </c>
    </row>
    <row r="36" spans="1:11" x14ac:dyDescent="0.25">
      <c r="A36" s="2">
        <v>45712</v>
      </c>
      <c r="B36">
        <v>9.35</v>
      </c>
      <c r="C36">
        <v>9.31</v>
      </c>
      <c r="D36">
        <v>9.4</v>
      </c>
      <c r="E36">
        <v>9.2100000000000009</v>
      </c>
      <c r="F36">
        <v>72.56</v>
      </c>
      <c r="G36" s="1">
        <v>7.4999999999999997E-3</v>
      </c>
      <c r="H36">
        <f>Table1[[#This Row],[High]]-Table1[[#This Row],[Low]]</f>
        <v>0.1899999999999995</v>
      </c>
      <c r="I36">
        <f t="shared" si="1"/>
        <v>9.5514285714285698</v>
      </c>
      <c r="K36" s="3">
        <f t="shared" si="0"/>
        <v>-3.1088082901554515E-2</v>
      </c>
    </row>
    <row r="37" spans="1:11" x14ac:dyDescent="0.25">
      <c r="A37" s="2">
        <v>45713</v>
      </c>
      <c r="B37">
        <v>9.42</v>
      </c>
      <c r="C37">
        <v>9.36</v>
      </c>
      <c r="D37">
        <v>9.49</v>
      </c>
      <c r="E37">
        <v>9.31</v>
      </c>
      <c r="F37">
        <v>88.88</v>
      </c>
      <c r="G37" s="1">
        <v>7.4999999999999997E-3</v>
      </c>
      <c r="H37">
        <f>Table1[[#This Row],[High]]-Table1[[#This Row],[Low]]</f>
        <v>0.17999999999999972</v>
      </c>
      <c r="I37">
        <f t="shared" si="1"/>
        <v>9.5180952380952366</v>
      </c>
      <c r="K37" s="3">
        <f t="shared" si="0"/>
        <v>-2.3834196891191706E-2</v>
      </c>
    </row>
    <row r="38" spans="1:11" x14ac:dyDescent="0.25">
      <c r="A38" s="2">
        <v>45714</v>
      </c>
      <c r="B38">
        <v>9.4700000000000006</v>
      </c>
      <c r="C38">
        <v>9.4600000000000009</v>
      </c>
      <c r="D38">
        <v>9.6199999999999992</v>
      </c>
      <c r="E38">
        <v>9.44</v>
      </c>
      <c r="F38">
        <v>87.95</v>
      </c>
      <c r="G38" s="1">
        <v>5.3E-3</v>
      </c>
      <c r="H38">
        <f>Table1[[#This Row],[High]]-Table1[[#This Row],[Low]]</f>
        <v>0.17999999999999972</v>
      </c>
      <c r="I38">
        <f t="shared" si="1"/>
        <v>9.4823809523809519</v>
      </c>
      <c r="K38" s="3">
        <f t="shared" si="0"/>
        <v>-1.865284974093262E-2</v>
      </c>
    </row>
    <row r="39" spans="1:11" x14ac:dyDescent="0.25">
      <c r="A39" s="2">
        <v>45715</v>
      </c>
      <c r="B39">
        <v>9.2899999999999991</v>
      </c>
      <c r="C39">
        <v>9.44</v>
      </c>
      <c r="D39">
        <v>9.5299999999999994</v>
      </c>
      <c r="E39">
        <v>9.2899999999999991</v>
      </c>
      <c r="F39">
        <v>70.52</v>
      </c>
      <c r="G39" s="1">
        <v>-1.9E-2</v>
      </c>
      <c r="H39">
        <f>Table1[[#This Row],[High]]-Table1[[#This Row],[Low]]</f>
        <v>0.24000000000000021</v>
      </c>
      <c r="I39">
        <f t="shared" si="1"/>
        <v>9.4523809523809508</v>
      </c>
      <c r="K39" s="3">
        <f t="shared" si="0"/>
        <v>-3.7305699481865462E-2</v>
      </c>
    </row>
    <row r="40" spans="1:11" x14ac:dyDescent="0.25">
      <c r="A40" s="2">
        <v>45716</v>
      </c>
      <c r="B40">
        <v>9.5500000000000007</v>
      </c>
      <c r="C40">
        <v>9.31</v>
      </c>
      <c r="D40">
        <v>9.69</v>
      </c>
      <c r="E40">
        <v>9.31</v>
      </c>
      <c r="F40">
        <v>137.99</v>
      </c>
      <c r="G40" s="1">
        <v>2.8000000000000001E-2</v>
      </c>
      <c r="H40">
        <f>Table1[[#This Row],[High]]-Table1[[#This Row],[Low]]</f>
        <v>0.37999999999999901</v>
      </c>
      <c r="I40">
        <f t="shared" si="1"/>
        <v>9.428571428571427</v>
      </c>
      <c r="K40" s="3">
        <f t="shared" si="0"/>
        <v>-1.0362694300518061E-2</v>
      </c>
    </row>
    <row r="41" spans="1:11" x14ac:dyDescent="0.25">
      <c r="A41" s="2">
        <v>45719</v>
      </c>
      <c r="B41">
        <v>9.39</v>
      </c>
      <c r="C41">
        <v>9.7100000000000009</v>
      </c>
      <c r="D41">
        <v>9.82</v>
      </c>
      <c r="E41">
        <v>9.32</v>
      </c>
      <c r="F41">
        <v>154.44</v>
      </c>
      <c r="G41" s="1">
        <v>-1.6799999999999999E-2</v>
      </c>
      <c r="H41">
        <f>Table1[[#This Row],[High]]-Table1[[#This Row],[Low]]</f>
        <v>0.5</v>
      </c>
      <c r="I41">
        <f t="shared" si="1"/>
        <v>9.3995238095238083</v>
      </c>
      <c r="K41" s="3">
        <f t="shared" si="0"/>
        <v>-2.6943005181347179E-2</v>
      </c>
    </row>
    <row r="42" spans="1:11" x14ac:dyDescent="0.25">
      <c r="A42" s="2">
        <v>45720</v>
      </c>
      <c r="B42">
        <v>9.1199999999999992</v>
      </c>
      <c r="C42">
        <v>9.23</v>
      </c>
      <c r="D42">
        <v>9.27</v>
      </c>
      <c r="E42">
        <v>9.06</v>
      </c>
      <c r="F42">
        <v>167.5</v>
      </c>
      <c r="G42" s="1">
        <v>-2.8799999999999999E-2</v>
      </c>
      <c r="H42">
        <f>Table1[[#This Row],[High]]-Table1[[#This Row],[Low]]</f>
        <v>0.20999999999999908</v>
      </c>
      <c r="I42">
        <f t="shared" si="1"/>
        <v>9.3614285714285703</v>
      </c>
      <c r="K42" s="3">
        <f t="shared" si="0"/>
        <v>-5.492227979274622E-2</v>
      </c>
    </row>
    <row r="43" spans="1:11" x14ac:dyDescent="0.25">
      <c r="A43" s="2">
        <v>45721</v>
      </c>
      <c r="B43">
        <v>9.65</v>
      </c>
      <c r="C43">
        <v>9.26</v>
      </c>
      <c r="D43">
        <v>9.67</v>
      </c>
      <c r="E43">
        <v>9.1999999999999993</v>
      </c>
      <c r="F43">
        <v>157.77000000000001</v>
      </c>
      <c r="G43" s="1">
        <v>5.8099999999999999E-2</v>
      </c>
      <c r="H43">
        <f>Table1[[#This Row],[High]]-Table1[[#This Row],[Low]]</f>
        <v>0.47000000000000064</v>
      </c>
      <c r="I43">
        <f t="shared" si="1"/>
        <v>9.3576190476190479</v>
      </c>
      <c r="K43" s="3">
        <f t="shared" si="0"/>
        <v>0</v>
      </c>
    </row>
    <row r="44" spans="1:11" x14ac:dyDescent="0.25">
      <c r="A44" s="2">
        <v>45722</v>
      </c>
      <c r="B44">
        <v>9.61</v>
      </c>
      <c r="C44">
        <v>9.52</v>
      </c>
      <c r="D44">
        <v>9.7200000000000006</v>
      </c>
      <c r="E44">
        <v>9.42</v>
      </c>
      <c r="F44">
        <v>136.68</v>
      </c>
      <c r="G44" s="1">
        <v>-4.1000000000000003E-3</v>
      </c>
      <c r="H44">
        <f>Table1[[#This Row],[High]]-Table1[[#This Row],[Low]]</f>
        <v>0.30000000000000071</v>
      </c>
      <c r="I44">
        <f t="shared" si="1"/>
        <v>9.331428571428571</v>
      </c>
      <c r="K44" s="3">
        <f t="shared" si="0"/>
        <v>-4.1450777202073352E-3</v>
      </c>
    </row>
    <row r="45" spans="1:11" x14ac:dyDescent="0.25">
      <c r="A45" s="2">
        <v>45723</v>
      </c>
      <c r="B45">
        <v>9.9</v>
      </c>
      <c r="C45">
        <v>9.5399999999999991</v>
      </c>
      <c r="D45">
        <v>9.9600000000000009</v>
      </c>
      <c r="E45">
        <v>9.51</v>
      </c>
      <c r="F45">
        <v>150.63999999999999</v>
      </c>
      <c r="G45" s="1">
        <v>3.0200000000000001E-2</v>
      </c>
      <c r="H45">
        <f>Table1[[#This Row],[High]]-Table1[[#This Row],[Low]]</f>
        <v>0.45000000000000107</v>
      </c>
      <c r="I45">
        <f t="shared" si="1"/>
        <v>9.3338095238095242</v>
      </c>
      <c r="K45" s="3">
        <f t="shared" si="0"/>
        <v>2.5906735751295429E-2</v>
      </c>
    </row>
    <row r="46" spans="1:11" x14ac:dyDescent="0.25">
      <c r="A46" s="2">
        <v>45726</v>
      </c>
      <c r="B46">
        <v>9.9600000000000009</v>
      </c>
      <c r="C46">
        <v>9.77</v>
      </c>
      <c r="D46">
        <v>10.14</v>
      </c>
      <c r="E46">
        <v>9.77</v>
      </c>
      <c r="F46">
        <v>167.18</v>
      </c>
      <c r="G46" s="1">
        <v>6.1000000000000004E-3</v>
      </c>
      <c r="H46">
        <f>Table1[[#This Row],[High]]-Table1[[#This Row],[Low]]</f>
        <v>0.37000000000000099</v>
      </c>
      <c r="I46">
        <f t="shared" si="1"/>
        <v>9.3742857142857154</v>
      </c>
      <c r="K46" s="3">
        <f t="shared" si="0"/>
        <v>3.2124352331606376E-2</v>
      </c>
    </row>
    <row r="47" spans="1:11" x14ac:dyDescent="0.25">
      <c r="A47" s="2">
        <v>45727</v>
      </c>
      <c r="B47">
        <v>9.69</v>
      </c>
      <c r="C47">
        <v>9.92</v>
      </c>
      <c r="D47">
        <v>9.9600000000000009</v>
      </c>
      <c r="E47">
        <v>9.49</v>
      </c>
      <c r="F47">
        <v>210.13</v>
      </c>
      <c r="G47" s="1">
        <v>-2.7099999999999999E-2</v>
      </c>
      <c r="H47">
        <f>Table1[[#This Row],[High]]-Table1[[#This Row],[Low]]</f>
        <v>0.47000000000000064</v>
      </c>
      <c r="I47">
        <f t="shared" si="1"/>
        <v>9.4028571428571421</v>
      </c>
      <c r="K47" s="3">
        <f t="shared" si="0"/>
        <v>4.1450777202072242E-3</v>
      </c>
    </row>
    <row r="48" spans="1:11" x14ac:dyDescent="0.25">
      <c r="A48" s="2">
        <v>45728</v>
      </c>
      <c r="B48">
        <v>9.59</v>
      </c>
      <c r="C48">
        <v>9.6999999999999993</v>
      </c>
      <c r="D48">
        <v>9.7100000000000009</v>
      </c>
      <c r="E48">
        <v>9.4600000000000009</v>
      </c>
      <c r="F48">
        <v>129.99</v>
      </c>
      <c r="G48" s="1">
        <v>-1.03E-2</v>
      </c>
      <c r="H48">
        <f>Table1[[#This Row],[High]]-Table1[[#This Row],[Low]]</f>
        <v>0.25</v>
      </c>
      <c r="I48">
        <f t="shared" si="1"/>
        <v>9.4266666666666676</v>
      </c>
      <c r="K48" s="3">
        <f t="shared" si="0"/>
        <v>-6.2176165803109473E-3</v>
      </c>
    </row>
    <row r="49" spans="1:11" x14ac:dyDescent="0.25">
      <c r="A49" s="2">
        <v>45729</v>
      </c>
      <c r="B49">
        <v>9.5299999999999994</v>
      </c>
      <c r="C49">
        <v>9.57</v>
      </c>
      <c r="D49">
        <v>9.9499999999999993</v>
      </c>
      <c r="E49">
        <v>9.5</v>
      </c>
      <c r="F49">
        <v>137.75</v>
      </c>
      <c r="G49" s="1">
        <v>-6.3E-3</v>
      </c>
      <c r="H49">
        <f>Table1[[#This Row],[High]]-Table1[[#This Row],[Low]]</f>
        <v>0.44999999999999929</v>
      </c>
      <c r="I49">
        <f t="shared" si="1"/>
        <v>9.4490476190476187</v>
      </c>
      <c r="K49" s="3">
        <f t="shared" si="0"/>
        <v>-1.2435233160621895E-2</v>
      </c>
    </row>
    <row r="50" spans="1:11" x14ac:dyDescent="0.25">
      <c r="A50" s="2">
        <v>45730</v>
      </c>
      <c r="B50">
        <v>9.73</v>
      </c>
      <c r="C50">
        <v>9.66</v>
      </c>
      <c r="D50">
        <v>9.7899999999999991</v>
      </c>
      <c r="E50">
        <v>9.64</v>
      </c>
      <c r="F50">
        <v>91.31</v>
      </c>
      <c r="G50" s="1">
        <v>2.1000000000000001E-2</v>
      </c>
      <c r="H50">
        <f>Table1[[#This Row],[High]]-Table1[[#This Row],[Low]]</f>
        <v>0.14999999999999858</v>
      </c>
      <c r="I50">
        <f t="shared" si="1"/>
        <v>9.48</v>
      </c>
      <c r="K50" s="3">
        <f t="shared" si="0"/>
        <v>8.2901554404144484E-3</v>
      </c>
    </row>
    <row r="51" spans="1:11" x14ac:dyDescent="0.25">
      <c r="A51" s="2">
        <v>45733</v>
      </c>
      <c r="B51">
        <v>9.92</v>
      </c>
      <c r="C51">
        <v>9.74</v>
      </c>
      <c r="D51">
        <v>9.98</v>
      </c>
      <c r="E51">
        <v>9.74</v>
      </c>
      <c r="F51">
        <v>98.58</v>
      </c>
      <c r="G51" s="1">
        <v>1.95E-2</v>
      </c>
      <c r="H51">
        <f>Table1[[#This Row],[High]]-Table1[[#This Row],[Low]]</f>
        <v>0.24000000000000021</v>
      </c>
      <c r="I51">
        <f t="shared" si="1"/>
        <v>9.5142857142857142</v>
      </c>
      <c r="K51" s="3">
        <f t="shared" si="0"/>
        <v>2.797927461139893E-2</v>
      </c>
    </row>
    <row r="52" spans="1:11" x14ac:dyDescent="0.25">
      <c r="A52" s="2">
        <v>45734</v>
      </c>
      <c r="B52">
        <v>9.9499999999999993</v>
      </c>
      <c r="C52">
        <v>9.9499999999999993</v>
      </c>
      <c r="D52">
        <v>10.039999999999999</v>
      </c>
      <c r="E52">
        <v>9.8800000000000008</v>
      </c>
      <c r="F52">
        <v>102.73</v>
      </c>
      <c r="G52" s="1">
        <v>3.0000000000000001E-3</v>
      </c>
      <c r="H52">
        <f>Table1[[#This Row],[High]]-Table1[[#This Row],[Low]]</f>
        <v>0.15999999999999837</v>
      </c>
      <c r="I52">
        <f t="shared" si="1"/>
        <v>9.5438095238095233</v>
      </c>
      <c r="J52">
        <f>AVERAGE(B2:B52)</f>
        <v>9.6337254901960758</v>
      </c>
      <c r="K52" s="3">
        <f t="shared" si="0"/>
        <v>3.1088082901554293E-2</v>
      </c>
    </row>
    <row r="53" spans="1:11" x14ac:dyDescent="0.25">
      <c r="A53" s="2">
        <v>45735</v>
      </c>
      <c r="B53">
        <v>10.17</v>
      </c>
      <c r="C53">
        <v>9.9600000000000009</v>
      </c>
      <c r="D53">
        <v>10.28</v>
      </c>
      <c r="E53">
        <v>9.94</v>
      </c>
      <c r="F53">
        <v>124.7</v>
      </c>
      <c r="G53" s="1">
        <v>2.2100000000000002E-2</v>
      </c>
      <c r="H53">
        <f>Table1[[#This Row],[High]]-Table1[[#This Row],[Low]]</f>
        <v>0.33999999999999986</v>
      </c>
      <c r="I53">
        <f t="shared" si="1"/>
        <v>9.5857142857142836</v>
      </c>
      <c r="J53">
        <f t="shared" ref="J53:J116" si="2">AVERAGE(B3:B53)</f>
        <v>9.6439215686274498</v>
      </c>
      <c r="K53" s="3">
        <f t="shared" si="0"/>
        <v>5.3886010362694359E-2</v>
      </c>
    </row>
    <row r="54" spans="1:11" x14ac:dyDescent="0.25">
      <c r="A54" s="2">
        <v>45736</v>
      </c>
      <c r="B54">
        <v>10.01</v>
      </c>
      <c r="C54">
        <v>10.07</v>
      </c>
      <c r="D54">
        <v>10.15</v>
      </c>
      <c r="E54">
        <v>9.99</v>
      </c>
      <c r="F54">
        <v>109.1</v>
      </c>
      <c r="G54" s="1">
        <v>-1.5699999999999999E-2</v>
      </c>
      <c r="H54">
        <f>Table1[[#This Row],[High]]-Table1[[#This Row],[Low]]</f>
        <v>0.16000000000000014</v>
      </c>
      <c r="I54">
        <f t="shared" si="1"/>
        <v>9.617619047619046</v>
      </c>
      <c r="J54">
        <f t="shared" si="2"/>
        <v>9.6496078431372538</v>
      </c>
      <c r="K54" s="3">
        <f t="shared" si="0"/>
        <v>3.730569948186524E-2</v>
      </c>
    </row>
    <row r="55" spans="1:11" x14ac:dyDescent="0.25">
      <c r="A55" s="2">
        <v>45737</v>
      </c>
      <c r="B55">
        <v>10</v>
      </c>
      <c r="C55">
        <v>9.91</v>
      </c>
      <c r="D55">
        <v>10.119999999999999</v>
      </c>
      <c r="E55">
        <v>9.83</v>
      </c>
      <c r="F55">
        <v>240.64</v>
      </c>
      <c r="G55" s="1">
        <v>-1E-3</v>
      </c>
      <c r="H55">
        <f>Table1[[#This Row],[High]]-Table1[[#This Row],[Low]]</f>
        <v>0.28999999999999915</v>
      </c>
      <c r="I55">
        <f t="shared" si="1"/>
        <v>9.6466666666666647</v>
      </c>
      <c r="J55">
        <f t="shared" si="2"/>
        <v>9.6543137254901943</v>
      </c>
      <c r="K55" s="3">
        <f t="shared" si="0"/>
        <v>3.6269430051813378E-2</v>
      </c>
    </row>
    <row r="56" spans="1:11" x14ac:dyDescent="0.25">
      <c r="A56" s="2">
        <v>45740</v>
      </c>
      <c r="B56">
        <v>10.25</v>
      </c>
      <c r="C56">
        <v>10.039999999999999</v>
      </c>
      <c r="D56">
        <v>10.25</v>
      </c>
      <c r="E56">
        <v>10.01</v>
      </c>
      <c r="F56">
        <v>102.85</v>
      </c>
      <c r="G56" s="1">
        <v>2.5000000000000001E-2</v>
      </c>
      <c r="H56">
        <f>Table1[[#This Row],[High]]-Table1[[#This Row],[Low]]</f>
        <v>0.24000000000000021</v>
      </c>
      <c r="I56">
        <f t="shared" si="1"/>
        <v>9.6928571428571413</v>
      </c>
      <c r="J56">
        <f t="shared" si="2"/>
        <v>9.6668627450980384</v>
      </c>
      <c r="K56" s="3">
        <f t="shared" si="0"/>
        <v>6.2176165803108807E-2</v>
      </c>
    </row>
    <row r="57" spans="1:11" x14ac:dyDescent="0.25">
      <c r="A57" s="2">
        <v>45741</v>
      </c>
      <c r="B57">
        <v>10.29</v>
      </c>
      <c r="C57">
        <v>10.3</v>
      </c>
      <c r="D57">
        <v>10.35</v>
      </c>
      <c r="E57">
        <v>10.17</v>
      </c>
      <c r="F57">
        <v>83.67</v>
      </c>
      <c r="G57" s="1">
        <v>3.8999999999999998E-3</v>
      </c>
      <c r="H57">
        <f>Table1[[#This Row],[High]]-Table1[[#This Row],[Low]]</f>
        <v>0.17999999999999972</v>
      </c>
      <c r="I57">
        <f t="shared" si="1"/>
        <v>9.7376190476190452</v>
      </c>
      <c r="J57">
        <f t="shared" si="2"/>
        <v>9.6805882352941168</v>
      </c>
      <c r="K57" s="3">
        <f t="shared" si="0"/>
        <v>6.6321243523316031E-2</v>
      </c>
    </row>
    <row r="58" spans="1:11" x14ac:dyDescent="0.25">
      <c r="A58" s="2">
        <v>45742</v>
      </c>
      <c r="B58">
        <v>10.3</v>
      </c>
      <c r="C58">
        <v>10.27</v>
      </c>
      <c r="D58">
        <v>10.35</v>
      </c>
      <c r="E58">
        <v>10.09</v>
      </c>
      <c r="F58">
        <v>140.97999999999999</v>
      </c>
      <c r="G58" s="1">
        <v>1E-3</v>
      </c>
      <c r="H58">
        <f>Table1[[#This Row],[High]]-Table1[[#This Row],[Low]]</f>
        <v>0.25999999999999979</v>
      </c>
      <c r="I58">
        <f t="shared" si="1"/>
        <v>9.7795238095238091</v>
      </c>
      <c r="J58">
        <f t="shared" si="2"/>
        <v>9.6962745098039207</v>
      </c>
      <c r="K58" s="3">
        <f t="shared" si="0"/>
        <v>6.7357512953367893E-2</v>
      </c>
    </row>
    <row r="59" spans="1:11" x14ac:dyDescent="0.25">
      <c r="A59" s="2">
        <v>45743</v>
      </c>
      <c r="B59">
        <v>9.9</v>
      </c>
      <c r="C59">
        <v>10.26</v>
      </c>
      <c r="D59">
        <v>10.4</v>
      </c>
      <c r="E59">
        <v>9.82</v>
      </c>
      <c r="F59">
        <v>229.03</v>
      </c>
      <c r="G59" s="1">
        <v>-3.8800000000000001E-2</v>
      </c>
      <c r="H59">
        <f>Table1[[#This Row],[High]]-Table1[[#This Row],[Low]]</f>
        <v>0.58000000000000007</v>
      </c>
      <c r="I59">
        <f t="shared" si="1"/>
        <v>9.7999999999999989</v>
      </c>
      <c r="J59">
        <f t="shared" si="2"/>
        <v>9.7029411764705884</v>
      </c>
      <c r="K59" s="3">
        <f t="shared" si="0"/>
        <v>2.5906735751295429E-2</v>
      </c>
    </row>
    <row r="60" spans="1:11" x14ac:dyDescent="0.25">
      <c r="A60" s="2">
        <v>45744</v>
      </c>
      <c r="B60">
        <v>9.7200000000000006</v>
      </c>
      <c r="C60">
        <v>9.84</v>
      </c>
      <c r="D60">
        <v>9.89</v>
      </c>
      <c r="E60">
        <v>9.6199999999999992</v>
      </c>
      <c r="F60">
        <v>136.87</v>
      </c>
      <c r="G60" s="1">
        <v>-1.8200000000000001E-2</v>
      </c>
      <c r="H60">
        <f>Table1[[#This Row],[High]]-Table1[[#This Row],[Low]]</f>
        <v>0.27000000000000135</v>
      </c>
      <c r="I60">
        <f t="shared" si="1"/>
        <v>9.8204761904761906</v>
      </c>
      <c r="J60">
        <f t="shared" si="2"/>
        <v>9.7047058823529415</v>
      </c>
      <c r="K60" s="3">
        <f t="shared" si="0"/>
        <v>7.2538860103628089E-3</v>
      </c>
    </row>
    <row r="61" spans="1:11" x14ac:dyDescent="0.25">
      <c r="A61" s="2">
        <v>45747</v>
      </c>
      <c r="B61">
        <v>10.029999999999999</v>
      </c>
      <c r="C61">
        <v>9.57</v>
      </c>
      <c r="D61">
        <v>10.11</v>
      </c>
      <c r="E61">
        <v>9.5500000000000007</v>
      </c>
      <c r="F61">
        <v>139.94999999999999</v>
      </c>
      <c r="G61" s="1">
        <v>3.1899999999999998E-2</v>
      </c>
      <c r="H61">
        <f>Table1[[#This Row],[High]]-Table1[[#This Row],[Low]]</f>
        <v>0.55999999999999872</v>
      </c>
      <c r="I61">
        <f t="shared" si="1"/>
        <v>9.8433333333333337</v>
      </c>
      <c r="J61">
        <f t="shared" si="2"/>
        <v>9.709411764705882</v>
      </c>
      <c r="K61" s="3">
        <f t="shared" si="0"/>
        <v>3.9378238341968741E-2</v>
      </c>
    </row>
    <row r="62" spans="1:11" x14ac:dyDescent="0.25">
      <c r="A62" s="2">
        <v>45748</v>
      </c>
      <c r="B62">
        <v>9.94</v>
      </c>
      <c r="C62">
        <v>10.1</v>
      </c>
      <c r="D62">
        <v>10.17</v>
      </c>
      <c r="E62">
        <v>9.81</v>
      </c>
      <c r="F62">
        <v>135.38999999999999</v>
      </c>
      <c r="G62" s="1">
        <v>-8.9999999999999993E-3</v>
      </c>
      <c r="H62">
        <f>Table1[[#This Row],[High]]-Table1[[#This Row],[Low]]</f>
        <v>0.35999999999999943</v>
      </c>
      <c r="I62">
        <f t="shared" si="1"/>
        <v>9.8695238095238107</v>
      </c>
      <c r="J62">
        <f t="shared" si="2"/>
        <v>9.7111764705882333</v>
      </c>
      <c r="K62" s="3">
        <f t="shared" si="0"/>
        <v>3.0051813471502431E-2</v>
      </c>
    </row>
    <row r="63" spans="1:11" x14ac:dyDescent="0.25">
      <c r="A63" s="2">
        <v>45749</v>
      </c>
      <c r="B63">
        <v>10.15</v>
      </c>
      <c r="C63">
        <v>9.84</v>
      </c>
      <c r="D63">
        <v>10.27</v>
      </c>
      <c r="E63">
        <v>9.82</v>
      </c>
      <c r="F63">
        <v>136.91</v>
      </c>
      <c r="G63" s="1">
        <v>2.1100000000000001E-2</v>
      </c>
      <c r="H63">
        <f>Table1[[#This Row],[High]]-Table1[[#This Row],[Low]]</f>
        <v>0.44999999999999929</v>
      </c>
      <c r="I63">
        <f t="shared" si="1"/>
        <v>9.918571428571429</v>
      </c>
      <c r="J63">
        <f t="shared" si="2"/>
        <v>9.7137254901960777</v>
      </c>
      <c r="K63" s="3">
        <f t="shared" si="0"/>
        <v>5.1813471502590636E-2</v>
      </c>
    </row>
    <row r="64" spans="1:11" x14ac:dyDescent="0.25">
      <c r="A64" s="2">
        <v>45750</v>
      </c>
      <c r="B64">
        <v>9.5399999999999991</v>
      </c>
      <c r="C64">
        <v>9.99</v>
      </c>
      <c r="D64">
        <v>10.199999999999999</v>
      </c>
      <c r="E64">
        <v>9.5299999999999994</v>
      </c>
      <c r="F64">
        <v>220.27</v>
      </c>
      <c r="G64" s="1">
        <v>-6.0100000000000001E-2</v>
      </c>
      <c r="H64">
        <f>Table1[[#This Row],[High]]-Table1[[#This Row],[Low]]</f>
        <v>0.66999999999999993</v>
      </c>
      <c r="I64">
        <f t="shared" si="1"/>
        <v>9.913333333333334</v>
      </c>
      <c r="J64">
        <f t="shared" si="2"/>
        <v>9.6996078431372528</v>
      </c>
      <c r="K64" s="3">
        <f t="shared" si="0"/>
        <v>-1.1398963730570033E-2</v>
      </c>
    </row>
    <row r="65" spans="1:11" x14ac:dyDescent="0.25">
      <c r="A65" s="2">
        <v>45751</v>
      </c>
      <c r="B65">
        <v>9.58</v>
      </c>
      <c r="C65">
        <v>9.31</v>
      </c>
      <c r="D65">
        <v>9.73</v>
      </c>
      <c r="E65">
        <v>9.1999999999999993</v>
      </c>
      <c r="F65">
        <v>177.47</v>
      </c>
      <c r="G65" s="1">
        <v>4.1999999999999997E-3</v>
      </c>
      <c r="H65">
        <f>Table1[[#This Row],[High]]-Table1[[#This Row],[Low]]</f>
        <v>0.53000000000000114</v>
      </c>
      <c r="I65">
        <f t="shared" si="1"/>
        <v>9.9119047619047631</v>
      </c>
      <c r="J65">
        <f t="shared" si="2"/>
        <v>9.690784313725489</v>
      </c>
      <c r="K65" s="3">
        <f t="shared" si="0"/>
        <v>-7.2538860103626979E-3</v>
      </c>
    </row>
    <row r="66" spans="1:11" x14ac:dyDescent="0.25">
      <c r="A66" s="2">
        <v>45754</v>
      </c>
      <c r="B66">
        <v>9.24</v>
      </c>
      <c r="C66">
        <v>9.27</v>
      </c>
      <c r="D66">
        <v>9.64</v>
      </c>
      <c r="E66">
        <v>9</v>
      </c>
      <c r="F66">
        <v>274.94</v>
      </c>
      <c r="G66" s="1">
        <v>-3.5499999999999997E-2</v>
      </c>
      <c r="H66">
        <f>Table1[[#This Row],[High]]-Table1[[#This Row],[Low]]</f>
        <v>0.64000000000000057</v>
      </c>
      <c r="I66">
        <f t="shared" si="1"/>
        <v>9.8804761904761929</v>
      </c>
      <c r="J66">
        <f t="shared" si="2"/>
        <v>9.6758823529411746</v>
      </c>
      <c r="K66" s="3">
        <f t="shared" ref="K66:K129" si="3">(B66/$B$2)-1</f>
        <v>-4.2487046632124326E-2</v>
      </c>
    </row>
    <row r="67" spans="1:11" x14ac:dyDescent="0.25">
      <c r="A67" s="2">
        <v>45755</v>
      </c>
      <c r="B67">
        <v>8.69</v>
      </c>
      <c r="C67">
        <v>9.52</v>
      </c>
      <c r="D67">
        <v>9.52</v>
      </c>
      <c r="E67">
        <v>8.5500000000000007</v>
      </c>
      <c r="F67">
        <v>199.29</v>
      </c>
      <c r="G67" s="1">
        <v>-5.9499999999999997E-2</v>
      </c>
      <c r="H67">
        <f>Table1[[#This Row],[High]]-Table1[[#This Row],[Low]]</f>
        <v>0.96999999999999886</v>
      </c>
      <c r="I67">
        <f t="shared" si="1"/>
        <v>9.8200000000000021</v>
      </c>
      <c r="J67">
        <f t="shared" si="2"/>
        <v>9.6478431372549007</v>
      </c>
      <c r="K67" s="3">
        <f t="shared" si="3"/>
        <v>-9.9481865284974158E-2</v>
      </c>
    </row>
    <row r="68" spans="1:11" x14ac:dyDescent="0.25">
      <c r="A68" s="2">
        <v>45756</v>
      </c>
      <c r="B68">
        <v>9.5</v>
      </c>
      <c r="C68">
        <v>8.5</v>
      </c>
      <c r="D68">
        <v>9.5399999999999991</v>
      </c>
      <c r="E68">
        <v>8.44</v>
      </c>
      <c r="F68">
        <v>199.66</v>
      </c>
      <c r="G68" s="1">
        <v>9.3200000000000005E-2</v>
      </c>
      <c r="H68">
        <f>Table1[[#This Row],[High]]-Table1[[#This Row],[Low]]</f>
        <v>1.0999999999999996</v>
      </c>
      <c r="I68">
        <f t="shared" si="1"/>
        <v>9.8109523809523829</v>
      </c>
      <c r="J68">
        <f t="shared" si="2"/>
        <v>9.6337254901960776</v>
      </c>
      <c r="K68" s="3">
        <f t="shared" si="3"/>
        <v>-1.5544041450777257E-2</v>
      </c>
    </row>
    <row r="69" spans="1:11" x14ac:dyDescent="0.25">
      <c r="A69" s="2">
        <v>45757</v>
      </c>
      <c r="B69">
        <v>9.14</v>
      </c>
      <c r="C69">
        <v>9.1</v>
      </c>
      <c r="D69">
        <v>9.2799999999999994</v>
      </c>
      <c r="E69">
        <v>8.8800000000000008</v>
      </c>
      <c r="F69">
        <v>163.54</v>
      </c>
      <c r="G69" s="1">
        <v>-3.7900000000000003E-2</v>
      </c>
      <c r="H69">
        <f>Table1[[#This Row],[High]]-Table1[[#This Row],[Low]]</f>
        <v>0.39999999999999858</v>
      </c>
      <c r="I69">
        <f t="shared" si="1"/>
        <v>9.7895238095238089</v>
      </c>
      <c r="J69">
        <f t="shared" si="2"/>
        <v>9.6184313725490185</v>
      </c>
      <c r="K69" s="3">
        <f t="shared" si="3"/>
        <v>-5.2849740932642497E-2</v>
      </c>
    </row>
    <row r="70" spans="1:11" x14ac:dyDescent="0.25">
      <c r="A70" s="2">
        <v>45758</v>
      </c>
      <c r="B70">
        <v>9.33</v>
      </c>
      <c r="C70">
        <v>9.11</v>
      </c>
      <c r="D70">
        <v>9.35</v>
      </c>
      <c r="E70">
        <v>9.0399999999999991</v>
      </c>
      <c r="F70">
        <v>146.07</v>
      </c>
      <c r="G70" s="1">
        <v>2.0799999999999999E-2</v>
      </c>
      <c r="H70">
        <f>Table1[[#This Row],[High]]-Table1[[#This Row],[Low]]</f>
        <v>0.3100000000000005</v>
      </c>
      <c r="I70">
        <f t="shared" si="1"/>
        <v>9.7800000000000011</v>
      </c>
      <c r="J70">
        <f t="shared" si="2"/>
        <v>9.6043137254901954</v>
      </c>
      <c r="K70" s="3">
        <f t="shared" si="3"/>
        <v>-3.3160621761658016E-2</v>
      </c>
    </row>
    <row r="71" spans="1:11" x14ac:dyDescent="0.25">
      <c r="A71" s="2">
        <v>45761</v>
      </c>
      <c r="B71">
        <v>9.7100000000000009</v>
      </c>
      <c r="C71">
        <v>9.3800000000000008</v>
      </c>
      <c r="D71">
        <v>9.81</v>
      </c>
      <c r="E71">
        <v>9.1999999999999993</v>
      </c>
      <c r="F71">
        <v>189.96</v>
      </c>
      <c r="G71" s="1">
        <v>4.07E-2</v>
      </c>
      <c r="H71">
        <f>Table1[[#This Row],[High]]-Table1[[#This Row],[Low]]</f>
        <v>0.61000000000000121</v>
      </c>
      <c r="I71">
        <f t="shared" si="1"/>
        <v>9.7790476190476205</v>
      </c>
      <c r="J71">
        <f t="shared" si="2"/>
        <v>9.5986274509803913</v>
      </c>
      <c r="K71" s="3">
        <f t="shared" si="3"/>
        <v>6.2176165803109473E-3</v>
      </c>
    </row>
    <row r="72" spans="1:11" x14ac:dyDescent="0.25">
      <c r="A72" s="2">
        <v>45762</v>
      </c>
      <c r="B72">
        <v>9.4499999999999993</v>
      </c>
      <c r="C72">
        <v>9.61</v>
      </c>
      <c r="D72">
        <v>9.6300000000000008</v>
      </c>
      <c r="E72">
        <v>9.3800000000000008</v>
      </c>
      <c r="F72">
        <v>125.47</v>
      </c>
      <c r="G72" s="1">
        <v>-2.6800000000000001E-2</v>
      </c>
      <c r="H72">
        <f>Table1[[#This Row],[High]]-Table1[[#This Row],[Low]]</f>
        <v>0.25</v>
      </c>
      <c r="I72">
        <f t="shared" si="1"/>
        <v>9.7566666666666695</v>
      </c>
      <c r="J72">
        <f t="shared" si="2"/>
        <v>9.589411764705881</v>
      </c>
      <c r="K72" s="3">
        <f t="shared" si="3"/>
        <v>-2.0725388601036343E-2</v>
      </c>
    </row>
    <row r="73" spans="1:11" x14ac:dyDescent="0.25">
      <c r="A73" s="2">
        <v>45763</v>
      </c>
      <c r="B73">
        <v>9.4</v>
      </c>
      <c r="C73">
        <v>9.4700000000000006</v>
      </c>
      <c r="D73">
        <v>9.6199999999999992</v>
      </c>
      <c r="E73">
        <v>9.2899999999999991</v>
      </c>
      <c r="F73">
        <v>133.80000000000001</v>
      </c>
      <c r="G73" s="1">
        <v>-5.3E-3</v>
      </c>
      <c r="H73">
        <f>Table1[[#This Row],[High]]-Table1[[#This Row],[Low]]</f>
        <v>0.33000000000000007</v>
      </c>
      <c r="I73">
        <f t="shared" si="1"/>
        <v>9.7304761904761925</v>
      </c>
      <c r="J73">
        <f t="shared" si="2"/>
        <v>9.5829411764705874</v>
      </c>
      <c r="K73" s="3">
        <f t="shared" si="3"/>
        <v>-2.5906735751295318E-2</v>
      </c>
    </row>
    <row r="74" spans="1:11" x14ac:dyDescent="0.25">
      <c r="A74" s="2">
        <v>45764</v>
      </c>
      <c r="B74">
        <v>9.6300000000000008</v>
      </c>
      <c r="C74">
        <v>9.41</v>
      </c>
      <c r="D74">
        <v>9.69</v>
      </c>
      <c r="E74">
        <v>9.4</v>
      </c>
      <c r="F74">
        <v>129.19999999999999</v>
      </c>
      <c r="G74" s="1">
        <v>2.4500000000000001E-2</v>
      </c>
      <c r="H74">
        <f>Table1[[#This Row],[High]]-Table1[[#This Row],[Low]]</f>
        <v>0.28999999999999915</v>
      </c>
      <c r="I74">
        <f t="shared" si="1"/>
        <v>9.704761904761904</v>
      </c>
      <c r="J74">
        <f t="shared" si="2"/>
        <v>9.5725490196078411</v>
      </c>
      <c r="K74" s="3">
        <f t="shared" si="3"/>
        <v>-2.0725388601036121E-3</v>
      </c>
    </row>
    <row r="75" spans="1:11" x14ac:dyDescent="0.25">
      <c r="A75" s="2">
        <v>45768</v>
      </c>
      <c r="B75">
        <v>9.4700000000000006</v>
      </c>
      <c r="C75">
        <v>9.58</v>
      </c>
      <c r="D75">
        <v>9.6300000000000008</v>
      </c>
      <c r="E75">
        <v>9.35</v>
      </c>
      <c r="F75">
        <v>94.14</v>
      </c>
      <c r="G75" s="1">
        <v>-1.66E-2</v>
      </c>
      <c r="H75">
        <f>Table1[[#This Row],[High]]-Table1[[#This Row],[Low]]</f>
        <v>0.28000000000000114</v>
      </c>
      <c r="I75">
        <f t="shared" si="1"/>
        <v>9.6790476190476191</v>
      </c>
      <c r="J75">
        <f t="shared" si="2"/>
        <v>9.5650980392156857</v>
      </c>
      <c r="K75" s="3">
        <f t="shared" si="3"/>
        <v>-1.865284974093262E-2</v>
      </c>
    </row>
    <row r="76" spans="1:11" x14ac:dyDescent="0.25">
      <c r="A76" s="2">
        <v>45769</v>
      </c>
      <c r="B76">
        <v>9.65</v>
      </c>
      <c r="C76">
        <v>9.5500000000000007</v>
      </c>
      <c r="D76">
        <v>9.7200000000000006</v>
      </c>
      <c r="E76">
        <v>9.5299999999999994</v>
      </c>
      <c r="F76">
        <v>121.39</v>
      </c>
      <c r="G76" s="1">
        <v>1.9E-2</v>
      </c>
      <c r="H76">
        <f>Table1[[#This Row],[High]]-Table1[[#This Row],[Low]]</f>
        <v>0.19000000000000128</v>
      </c>
      <c r="I76">
        <f t="shared" si="1"/>
        <v>9.6623809523809516</v>
      </c>
      <c r="J76">
        <f t="shared" si="2"/>
        <v>9.5756862745098026</v>
      </c>
      <c r="K76" s="3">
        <f t="shared" si="3"/>
        <v>0</v>
      </c>
    </row>
    <row r="77" spans="1:11" x14ac:dyDescent="0.25">
      <c r="A77" s="2">
        <v>45770</v>
      </c>
      <c r="B77">
        <v>9.7799999999999994</v>
      </c>
      <c r="C77">
        <v>9.84</v>
      </c>
      <c r="D77">
        <v>10.01</v>
      </c>
      <c r="E77">
        <v>9.7100000000000009</v>
      </c>
      <c r="F77">
        <v>158.69</v>
      </c>
      <c r="G77" s="1">
        <v>1.35E-2</v>
      </c>
      <c r="H77">
        <f>Table1[[#This Row],[High]]-Table1[[#This Row],[Low]]</f>
        <v>0.29999999999999893</v>
      </c>
      <c r="I77">
        <f t="shared" si="1"/>
        <v>9.64</v>
      </c>
      <c r="J77">
        <f t="shared" si="2"/>
        <v>9.5892156862745068</v>
      </c>
      <c r="K77" s="3">
        <f t="shared" si="3"/>
        <v>1.3471502590673534E-2</v>
      </c>
    </row>
    <row r="78" spans="1:11" x14ac:dyDescent="0.25">
      <c r="A78" s="2">
        <v>45771</v>
      </c>
      <c r="B78">
        <v>10.06</v>
      </c>
      <c r="C78">
        <v>9.8699999999999992</v>
      </c>
      <c r="D78">
        <v>10.09</v>
      </c>
      <c r="E78">
        <v>9.81</v>
      </c>
      <c r="F78">
        <v>87.03</v>
      </c>
      <c r="G78" s="1">
        <v>2.86E-2</v>
      </c>
      <c r="H78">
        <f>Table1[[#This Row],[High]]-Table1[[#This Row],[Low]]</f>
        <v>0.27999999999999936</v>
      </c>
      <c r="I78">
        <f t="shared" si="1"/>
        <v>9.6290476190476184</v>
      </c>
      <c r="J78">
        <f t="shared" si="2"/>
        <v>9.6082352941176445</v>
      </c>
      <c r="K78" s="3">
        <f t="shared" si="3"/>
        <v>4.2487046632124326E-2</v>
      </c>
    </row>
    <row r="79" spans="1:11" x14ac:dyDescent="0.25">
      <c r="A79" s="2">
        <v>45772</v>
      </c>
      <c r="B79">
        <v>10.039999999999999</v>
      </c>
      <c r="C79">
        <v>10.050000000000001</v>
      </c>
      <c r="D79">
        <v>10.1</v>
      </c>
      <c r="E79">
        <v>9.9700000000000006</v>
      </c>
      <c r="F79">
        <v>88.68</v>
      </c>
      <c r="G79" s="1">
        <v>-2E-3</v>
      </c>
      <c r="H79">
        <f>Table1[[#This Row],[High]]-Table1[[#This Row],[Low]]</f>
        <v>0.12999999999999901</v>
      </c>
      <c r="I79">
        <f t="shared" si="1"/>
        <v>9.6166666666666654</v>
      </c>
      <c r="J79">
        <f t="shared" si="2"/>
        <v>9.6274509803921529</v>
      </c>
      <c r="K79" s="3">
        <f t="shared" si="3"/>
        <v>4.0414507772020603E-2</v>
      </c>
    </row>
    <row r="80" spans="1:11" x14ac:dyDescent="0.25">
      <c r="A80" s="2">
        <v>45775</v>
      </c>
      <c r="B80">
        <v>10.02</v>
      </c>
      <c r="C80">
        <v>10.06</v>
      </c>
      <c r="D80">
        <v>10.18</v>
      </c>
      <c r="E80">
        <v>9.9700000000000006</v>
      </c>
      <c r="F80">
        <v>77.05</v>
      </c>
      <c r="G80" s="1">
        <v>-2E-3</v>
      </c>
      <c r="H80">
        <f>Table1[[#This Row],[High]]-Table1[[#This Row],[Low]]</f>
        <v>0.20999999999999908</v>
      </c>
      <c r="I80">
        <f t="shared" si="1"/>
        <v>9.6223809523809525</v>
      </c>
      <c r="J80">
        <f t="shared" si="2"/>
        <v>9.6458823529411735</v>
      </c>
      <c r="K80" s="3">
        <f t="shared" si="3"/>
        <v>3.8341968911917101E-2</v>
      </c>
    </row>
    <row r="81" spans="1:11" x14ac:dyDescent="0.25">
      <c r="A81" s="2">
        <v>45776</v>
      </c>
      <c r="B81">
        <v>10.15</v>
      </c>
      <c r="C81">
        <v>10.07</v>
      </c>
      <c r="D81">
        <v>10.19</v>
      </c>
      <c r="E81">
        <v>9.93</v>
      </c>
      <c r="F81">
        <v>141.97999999999999</v>
      </c>
      <c r="G81" s="1">
        <v>1.2999999999999999E-2</v>
      </c>
      <c r="H81">
        <f>Table1[[#This Row],[High]]-Table1[[#This Row],[Low]]</f>
        <v>0.25999999999999979</v>
      </c>
      <c r="I81">
        <f t="shared" si="1"/>
        <v>9.6428571428571441</v>
      </c>
      <c r="J81">
        <f t="shared" si="2"/>
        <v>9.6645098039215647</v>
      </c>
      <c r="K81" s="3">
        <f t="shared" si="3"/>
        <v>5.1813471502590636E-2</v>
      </c>
    </row>
    <row r="82" spans="1:11" x14ac:dyDescent="0.25">
      <c r="A82" s="2">
        <v>45777</v>
      </c>
      <c r="B82">
        <v>10.01</v>
      </c>
      <c r="C82">
        <v>10.11</v>
      </c>
      <c r="D82">
        <v>10.130000000000001</v>
      </c>
      <c r="E82">
        <v>9.86</v>
      </c>
      <c r="F82">
        <v>136.41</v>
      </c>
      <c r="G82" s="1">
        <v>-1.38E-2</v>
      </c>
      <c r="H82">
        <f>Table1[[#This Row],[High]]-Table1[[#This Row],[Low]]</f>
        <v>0.27000000000000135</v>
      </c>
      <c r="I82">
        <f t="shared" si="1"/>
        <v>9.6419047619047635</v>
      </c>
      <c r="J82">
        <f t="shared" si="2"/>
        <v>9.6778431372548965</v>
      </c>
      <c r="K82" s="3">
        <f t="shared" si="3"/>
        <v>3.730569948186524E-2</v>
      </c>
    </row>
    <row r="83" spans="1:11" x14ac:dyDescent="0.25">
      <c r="A83" s="2">
        <v>45778</v>
      </c>
      <c r="B83">
        <v>10.18</v>
      </c>
      <c r="C83">
        <v>10.14</v>
      </c>
      <c r="D83">
        <v>10.32</v>
      </c>
      <c r="E83">
        <v>10.02</v>
      </c>
      <c r="F83">
        <v>126.53</v>
      </c>
      <c r="G83" s="1">
        <v>1.7000000000000001E-2</v>
      </c>
      <c r="H83">
        <f>Table1[[#This Row],[High]]-Table1[[#This Row],[Low]]</f>
        <v>0.30000000000000071</v>
      </c>
      <c r="I83">
        <f t="shared" si="1"/>
        <v>9.6533333333333324</v>
      </c>
      <c r="J83">
        <f t="shared" si="2"/>
        <v>9.6952941176470553</v>
      </c>
      <c r="K83" s="3">
        <f t="shared" si="3"/>
        <v>5.4922279792745998E-2</v>
      </c>
    </row>
    <row r="84" spans="1:11" x14ac:dyDescent="0.25">
      <c r="A84" s="2">
        <v>45779</v>
      </c>
      <c r="B84">
        <v>10.28</v>
      </c>
      <c r="C84">
        <v>10.3</v>
      </c>
      <c r="D84">
        <v>10.39</v>
      </c>
      <c r="E84">
        <v>10.220000000000001</v>
      </c>
      <c r="F84">
        <v>82.23</v>
      </c>
      <c r="G84" s="1">
        <v>9.7999999999999997E-3</v>
      </c>
      <c r="H84">
        <f>Table1[[#This Row],[High]]-Table1[[#This Row],[Low]]</f>
        <v>0.16999999999999993</v>
      </c>
      <c r="I84">
        <f t="shared" si="1"/>
        <v>9.6595238095238098</v>
      </c>
      <c r="J84">
        <f t="shared" si="2"/>
        <v>9.7137254901960741</v>
      </c>
      <c r="K84" s="3">
        <f t="shared" si="3"/>
        <v>6.528497409326417E-2</v>
      </c>
    </row>
    <row r="85" spans="1:11" x14ac:dyDescent="0.25">
      <c r="A85" s="2">
        <v>45782</v>
      </c>
      <c r="B85">
        <v>10.17</v>
      </c>
      <c r="C85">
        <v>10.23</v>
      </c>
      <c r="D85">
        <v>10.24</v>
      </c>
      <c r="E85">
        <v>10.1</v>
      </c>
      <c r="F85">
        <v>105.77</v>
      </c>
      <c r="G85" s="1">
        <v>-1.0699999999999999E-2</v>
      </c>
      <c r="H85">
        <f>Table1[[#This Row],[High]]-Table1[[#This Row],[Low]]</f>
        <v>0.14000000000000057</v>
      </c>
      <c r="I85">
        <f t="shared" si="1"/>
        <v>9.6895238095238092</v>
      </c>
      <c r="J85">
        <f t="shared" si="2"/>
        <v>9.7290196078431332</v>
      </c>
      <c r="K85" s="3">
        <f t="shared" si="3"/>
        <v>5.3886010362694359E-2</v>
      </c>
    </row>
    <row r="86" spans="1:11" x14ac:dyDescent="0.25">
      <c r="A86" s="2">
        <v>45783</v>
      </c>
      <c r="B86">
        <v>10.44</v>
      </c>
      <c r="C86">
        <v>10.09</v>
      </c>
      <c r="D86">
        <v>10.62</v>
      </c>
      <c r="E86">
        <v>10.06</v>
      </c>
      <c r="F86">
        <v>131.81</v>
      </c>
      <c r="G86" s="1">
        <v>2.6499999999999999E-2</v>
      </c>
      <c r="H86">
        <f>Table1[[#This Row],[High]]-Table1[[#This Row],[Low]]</f>
        <v>0.55999999999999872</v>
      </c>
      <c r="I86">
        <f t="shared" si="1"/>
        <v>9.7304761904761907</v>
      </c>
      <c r="J86">
        <f t="shared" si="2"/>
        <v>9.7517647058823496</v>
      </c>
      <c r="K86" s="3">
        <f t="shared" si="3"/>
        <v>8.1865284974093067E-2</v>
      </c>
    </row>
    <row r="87" spans="1:11" x14ac:dyDescent="0.25">
      <c r="A87" s="2">
        <v>45784</v>
      </c>
      <c r="B87">
        <v>10.28</v>
      </c>
      <c r="C87">
        <v>10.46</v>
      </c>
      <c r="D87">
        <v>10.51</v>
      </c>
      <c r="E87">
        <v>10.119999999999999</v>
      </c>
      <c r="F87">
        <v>116.94</v>
      </c>
      <c r="G87" s="1">
        <v>-1.5299999999999999E-2</v>
      </c>
      <c r="H87">
        <f>Table1[[#This Row],[High]]-Table1[[#This Row],[Low]]</f>
        <v>0.39000000000000057</v>
      </c>
      <c r="I87">
        <f t="shared" ref="I87:I150" si="4">AVERAGE(B67:B87)</f>
        <v>9.7799999999999994</v>
      </c>
      <c r="J87">
        <f t="shared" si="2"/>
        <v>9.769999999999996</v>
      </c>
      <c r="K87" s="3">
        <f t="shared" si="3"/>
        <v>6.528497409326417E-2</v>
      </c>
    </row>
    <row r="88" spans="1:11" x14ac:dyDescent="0.25">
      <c r="A88" s="2">
        <v>45785</v>
      </c>
      <c r="B88">
        <v>10.28</v>
      </c>
      <c r="C88">
        <v>10.34</v>
      </c>
      <c r="D88">
        <v>10.46</v>
      </c>
      <c r="E88">
        <v>10.26</v>
      </c>
      <c r="F88">
        <v>107.17</v>
      </c>
      <c r="G88" s="1">
        <v>0</v>
      </c>
      <c r="H88">
        <f>Table1[[#This Row],[High]]-Table1[[#This Row],[Low]]</f>
        <v>0.20000000000000107</v>
      </c>
      <c r="I88">
        <f t="shared" si="4"/>
        <v>9.855714285714285</v>
      </c>
      <c r="J88">
        <f t="shared" si="2"/>
        <v>9.7868627450980341</v>
      </c>
      <c r="K88" s="3">
        <f t="shared" si="3"/>
        <v>6.528497409326417E-2</v>
      </c>
    </row>
    <row r="89" spans="1:11" x14ac:dyDescent="0.25">
      <c r="A89" s="2">
        <v>45786</v>
      </c>
      <c r="B89">
        <v>10.43</v>
      </c>
      <c r="C89">
        <v>10.35</v>
      </c>
      <c r="D89">
        <v>10.49</v>
      </c>
      <c r="E89">
        <v>10.35</v>
      </c>
      <c r="F89">
        <v>76.349999999999994</v>
      </c>
      <c r="G89" s="1">
        <v>1.46E-2</v>
      </c>
      <c r="H89">
        <f>Table1[[#This Row],[High]]-Table1[[#This Row],[Low]]</f>
        <v>0.14000000000000057</v>
      </c>
      <c r="I89">
        <f t="shared" si="4"/>
        <v>9.9</v>
      </c>
      <c r="J89">
        <f t="shared" si="2"/>
        <v>9.8056862745097995</v>
      </c>
      <c r="K89" s="3">
        <f t="shared" si="3"/>
        <v>8.0829015544041427E-2</v>
      </c>
    </row>
    <row r="90" spans="1:11" x14ac:dyDescent="0.25">
      <c r="A90" s="2">
        <v>45789</v>
      </c>
      <c r="B90">
        <v>10.55</v>
      </c>
      <c r="C90">
        <v>10.56</v>
      </c>
      <c r="D90">
        <v>10.73</v>
      </c>
      <c r="E90">
        <v>10.48</v>
      </c>
      <c r="F90">
        <v>102.04</v>
      </c>
      <c r="G90" s="1">
        <v>1.15E-2</v>
      </c>
      <c r="H90">
        <f>Table1[[#This Row],[High]]-Table1[[#This Row],[Low]]</f>
        <v>0.25</v>
      </c>
      <c r="I90">
        <f t="shared" si="4"/>
        <v>9.9671428571428589</v>
      </c>
      <c r="J90">
        <f t="shared" si="2"/>
        <v>9.830392156862743</v>
      </c>
      <c r="K90" s="3">
        <f t="shared" si="3"/>
        <v>9.3264248704663322E-2</v>
      </c>
    </row>
    <row r="91" spans="1:11" x14ac:dyDescent="0.25">
      <c r="A91" s="2">
        <v>45790</v>
      </c>
      <c r="B91">
        <v>10.6</v>
      </c>
      <c r="C91">
        <v>10.6</v>
      </c>
      <c r="D91">
        <v>10.63</v>
      </c>
      <c r="E91">
        <v>10.42</v>
      </c>
      <c r="F91">
        <v>83.67</v>
      </c>
      <c r="G91" s="1">
        <v>4.7000000000000002E-3</v>
      </c>
      <c r="H91">
        <f>Table1[[#This Row],[High]]-Table1[[#This Row],[Low]]</f>
        <v>0.21000000000000085</v>
      </c>
      <c r="I91">
        <f t="shared" si="4"/>
        <v>10.027619047619048</v>
      </c>
      <c r="J91">
        <f t="shared" si="2"/>
        <v>9.8509803921568597</v>
      </c>
      <c r="K91" s="3">
        <f t="shared" si="3"/>
        <v>9.8445595854922185E-2</v>
      </c>
    </row>
    <row r="92" spans="1:11" x14ac:dyDescent="0.25">
      <c r="A92" s="2">
        <v>45791</v>
      </c>
      <c r="B92">
        <v>10.65</v>
      </c>
      <c r="C92">
        <v>10.57</v>
      </c>
      <c r="D92">
        <v>10.7</v>
      </c>
      <c r="E92">
        <v>10.48</v>
      </c>
      <c r="F92">
        <v>84.45</v>
      </c>
      <c r="G92" s="1">
        <v>4.7000000000000002E-3</v>
      </c>
      <c r="H92">
        <f>Table1[[#This Row],[High]]-Table1[[#This Row],[Low]]</f>
        <v>0.21999999999999886</v>
      </c>
      <c r="I92">
        <f t="shared" si="4"/>
        <v>10.072380952380954</v>
      </c>
      <c r="J92">
        <f t="shared" si="2"/>
        <v>9.8756862745098015</v>
      </c>
      <c r="K92" s="3">
        <f t="shared" si="3"/>
        <v>0.10362694300518127</v>
      </c>
    </row>
    <row r="93" spans="1:11" x14ac:dyDescent="0.25">
      <c r="A93" s="2">
        <v>45792</v>
      </c>
      <c r="B93">
        <v>10.75</v>
      </c>
      <c r="C93">
        <v>10.59</v>
      </c>
      <c r="D93">
        <v>10.78</v>
      </c>
      <c r="E93">
        <v>10.55</v>
      </c>
      <c r="F93">
        <v>71.099999999999994</v>
      </c>
      <c r="G93" s="1">
        <v>9.4000000000000004E-3</v>
      </c>
      <c r="H93">
        <f>Table1[[#This Row],[High]]-Table1[[#This Row],[Low]]</f>
        <v>0.22999999999999865</v>
      </c>
      <c r="I93">
        <f t="shared" si="4"/>
        <v>10.134285714285715</v>
      </c>
      <c r="J93">
        <f t="shared" si="2"/>
        <v>9.9076470588235264</v>
      </c>
      <c r="K93" s="3">
        <f t="shared" si="3"/>
        <v>0.11398963730569944</v>
      </c>
    </row>
    <row r="94" spans="1:11" x14ac:dyDescent="0.25">
      <c r="A94" s="2">
        <v>45793</v>
      </c>
      <c r="B94">
        <v>10.8</v>
      </c>
      <c r="C94">
        <v>10.77</v>
      </c>
      <c r="D94">
        <v>10.81</v>
      </c>
      <c r="E94">
        <v>10.64</v>
      </c>
      <c r="F94">
        <v>64.91</v>
      </c>
      <c r="G94" s="1">
        <v>4.7000000000000002E-3</v>
      </c>
      <c r="H94">
        <f>Table1[[#This Row],[High]]-Table1[[#This Row],[Low]]</f>
        <v>0.16999999999999993</v>
      </c>
      <c r="I94">
        <f t="shared" si="4"/>
        <v>10.200952380952383</v>
      </c>
      <c r="J94">
        <f t="shared" si="2"/>
        <v>9.9301960784313703</v>
      </c>
      <c r="K94" s="3">
        <f t="shared" si="3"/>
        <v>0.11917098445595853</v>
      </c>
    </row>
    <row r="95" spans="1:11" x14ac:dyDescent="0.25">
      <c r="A95" s="2">
        <v>45796</v>
      </c>
      <c r="B95">
        <v>10.75</v>
      </c>
      <c r="C95">
        <v>10.69</v>
      </c>
      <c r="D95">
        <v>10.78</v>
      </c>
      <c r="E95">
        <v>10.63</v>
      </c>
      <c r="F95">
        <v>60.2</v>
      </c>
      <c r="G95" s="1">
        <v>-4.5999999999999999E-3</v>
      </c>
      <c r="H95">
        <f>Table1[[#This Row],[High]]-Table1[[#This Row],[Low]]</f>
        <v>0.14999999999999858</v>
      </c>
      <c r="I95">
        <f t="shared" si="4"/>
        <v>10.254285714285716</v>
      </c>
      <c r="J95">
        <f t="shared" si="2"/>
        <v>9.9525490196078419</v>
      </c>
      <c r="K95" s="3">
        <f t="shared" si="3"/>
        <v>0.11398963730569944</v>
      </c>
    </row>
    <row r="96" spans="1:11" x14ac:dyDescent="0.25">
      <c r="A96" s="2">
        <v>45797</v>
      </c>
      <c r="B96">
        <v>10.72</v>
      </c>
      <c r="C96">
        <v>10.79</v>
      </c>
      <c r="D96">
        <v>10.84</v>
      </c>
      <c r="E96">
        <v>10.66</v>
      </c>
      <c r="F96">
        <v>61.06</v>
      </c>
      <c r="G96" s="1">
        <v>-2.8E-3</v>
      </c>
      <c r="H96">
        <f>Table1[[#This Row],[High]]-Table1[[#This Row],[Low]]</f>
        <v>0.17999999999999972</v>
      </c>
      <c r="I96">
        <f t="shared" si="4"/>
        <v>10.313809523809525</v>
      </c>
      <c r="J96">
        <f t="shared" si="2"/>
        <v>9.9686274509803923</v>
      </c>
      <c r="K96" s="3">
        <f t="shared" si="3"/>
        <v>0.11088082901554408</v>
      </c>
    </row>
    <row r="97" spans="1:11" x14ac:dyDescent="0.25">
      <c r="A97" s="2">
        <v>45798</v>
      </c>
      <c r="B97">
        <v>10.48</v>
      </c>
      <c r="C97">
        <v>10.66</v>
      </c>
      <c r="D97">
        <v>10.69</v>
      </c>
      <c r="E97">
        <v>10.45</v>
      </c>
      <c r="F97">
        <v>89.09</v>
      </c>
      <c r="G97" s="1">
        <v>-2.24E-2</v>
      </c>
      <c r="H97">
        <f>Table1[[#This Row],[High]]-Table1[[#This Row],[Low]]</f>
        <v>0.24000000000000021</v>
      </c>
      <c r="I97">
        <f t="shared" si="4"/>
        <v>10.353333333333333</v>
      </c>
      <c r="J97">
        <f t="shared" si="2"/>
        <v>9.9788235294117644</v>
      </c>
      <c r="K97" s="3">
        <f t="shared" si="3"/>
        <v>8.6010362694300513E-2</v>
      </c>
    </row>
    <row r="98" spans="1:11" x14ac:dyDescent="0.25">
      <c r="A98" s="2">
        <v>45799</v>
      </c>
      <c r="B98">
        <v>10.44</v>
      </c>
      <c r="C98">
        <v>10.48</v>
      </c>
      <c r="D98">
        <v>10.5</v>
      </c>
      <c r="E98">
        <v>10.34</v>
      </c>
      <c r="F98">
        <v>94.08</v>
      </c>
      <c r="G98" s="1">
        <v>-3.8E-3</v>
      </c>
      <c r="H98">
        <f>Table1[[#This Row],[High]]-Table1[[#This Row],[Low]]</f>
        <v>0.16000000000000014</v>
      </c>
      <c r="I98">
        <f t="shared" si="4"/>
        <v>10.384761904761906</v>
      </c>
      <c r="J98">
        <f t="shared" si="2"/>
        <v>9.9935294117647064</v>
      </c>
      <c r="K98" s="3">
        <f t="shared" si="3"/>
        <v>8.1865284974093067E-2</v>
      </c>
    </row>
    <row r="99" spans="1:11" x14ac:dyDescent="0.25">
      <c r="A99" s="2">
        <v>45800</v>
      </c>
      <c r="B99">
        <v>10.36</v>
      </c>
      <c r="C99">
        <v>10.3</v>
      </c>
      <c r="D99">
        <v>10.41</v>
      </c>
      <c r="E99">
        <v>10.29</v>
      </c>
      <c r="F99">
        <v>80.52</v>
      </c>
      <c r="G99" s="1">
        <v>-7.7000000000000002E-3</v>
      </c>
      <c r="H99">
        <f>Table1[[#This Row],[High]]-Table1[[#This Row],[Low]]</f>
        <v>0.12000000000000099</v>
      </c>
      <c r="I99">
        <f t="shared" si="4"/>
        <v>10.399047619047618</v>
      </c>
      <c r="J99">
        <f t="shared" si="2"/>
        <v>10.008627450980391</v>
      </c>
      <c r="K99" s="3">
        <f t="shared" si="3"/>
        <v>7.3575129533678618E-2</v>
      </c>
    </row>
    <row r="100" spans="1:11" x14ac:dyDescent="0.25">
      <c r="A100" s="2">
        <v>45804</v>
      </c>
      <c r="B100">
        <v>10.31</v>
      </c>
      <c r="C100">
        <v>10.45</v>
      </c>
      <c r="D100">
        <v>10.49</v>
      </c>
      <c r="E100">
        <v>10.210000000000001</v>
      </c>
      <c r="F100">
        <v>89.07</v>
      </c>
      <c r="G100" s="1">
        <v>-4.7999999999999996E-3</v>
      </c>
      <c r="H100">
        <f>Table1[[#This Row],[High]]-Table1[[#This Row],[Low]]</f>
        <v>0.27999999999999936</v>
      </c>
      <c r="I100">
        <f t="shared" si="4"/>
        <v>10.411904761904761</v>
      </c>
      <c r="J100">
        <f t="shared" si="2"/>
        <v>10.023921568627451</v>
      </c>
      <c r="K100" s="3">
        <f t="shared" si="3"/>
        <v>6.8393782383419754E-2</v>
      </c>
    </row>
    <row r="101" spans="1:11" x14ac:dyDescent="0.25">
      <c r="A101" s="2">
        <v>45805</v>
      </c>
      <c r="B101">
        <v>10.17</v>
      </c>
      <c r="C101">
        <v>10.32</v>
      </c>
      <c r="D101">
        <v>10.34</v>
      </c>
      <c r="E101">
        <v>10.15</v>
      </c>
      <c r="F101">
        <v>102.34</v>
      </c>
      <c r="G101" s="1">
        <v>-1.3599999999999999E-2</v>
      </c>
      <c r="H101">
        <f>Table1[[#This Row],[High]]-Table1[[#This Row],[Low]]</f>
        <v>0.1899999999999995</v>
      </c>
      <c r="I101">
        <f t="shared" si="4"/>
        <v>10.419047619047618</v>
      </c>
      <c r="J101">
        <f t="shared" si="2"/>
        <v>10.032549019607844</v>
      </c>
      <c r="K101" s="3">
        <f t="shared" si="3"/>
        <v>5.3886010362694359E-2</v>
      </c>
    </row>
    <row r="102" spans="1:11" x14ac:dyDescent="0.25">
      <c r="A102" s="2">
        <v>45806</v>
      </c>
      <c r="B102">
        <v>10.220000000000001</v>
      </c>
      <c r="C102">
        <v>10.210000000000001</v>
      </c>
      <c r="D102">
        <v>10.28</v>
      </c>
      <c r="E102">
        <v>10.11</v>
      </c>
      <c r="F102">
        <v>101.69</v>
      </c>
      <c r="G102" s="1">
        <v>4.8999999999999998E-3</v>
      </c>
      <c r="H102">
        <f>Table1[[#This Row],[High]]-Table1[[#This Row],[Low]]</f>
        <v>0.16999999999999993</v>
      </c>
      <c r="I102">
        <f t="shared" si="4"/>
        <v>10.42238095238095</v>
      </c>
      <c r="J102">
        <f t="shared" si="2"/>
        <v>10.038431372549022</v>
      </c>
      <c r="K102" s="3">
        <f t="shared" si="3"/>
        <v>5.9067357512953444E-2</v>
      </c>
    </row>
    <row r="103" spans="1:11" x14ac:dyDescent="0.25">
      <c r="A103" s="2">
        <v>45807</v>
      </c>
      <c r="B103">
        <v>10.38</v>
      </c>
      <c r="C103">
        <v>10.18</v>
      </c>
      <c r="D103">
        <v>10.46</v>
      </c>
      <c r="E103">
        <v>10.119999999999999</v>
      </c>
      <c r="F103">
        <v>152.19</v>
      </c>
      <c r="G103" s="1">
        <v>1.5699999999999999E-2</v>
      </c>
      <c r="H103">
        <f>Table1[[#This Row],[High]]-Table1[[#This Row],[Low]]</f>
        <v>0.34000000000000163</v>
      </c>
      <c r="I103">
        <f t="shared" si="4"/>
        <v>10.439999999999998</v>
      </c>
      <c r="J103">
        <f t="shared" si="2"/>
        <v>10.046862745098041</v>
      </c>
      <c r="K103" s="3">
        <f t="shared" si="3"/>
        <v>7.5647668393782341E-2</v>
      </c>
    </row>
    <row r="104" spans="1:11" x14ac:dyDescent="0.25">
      <c r="A104" s="2">
        <v>45810</v>
      </c>
      <c r="B104">
        <v>9.98</v>
      </c>
      <c r="C104">
        <v>10.27</v>
      </c>
      <c r="D104">
        <v>10.28</v>
      </c>
      <c r="E104">
        <v>9.8800000000000008</v>
      </c>
      <c r="F104">
        <v>170.34</v>
      </c>
      <c r="G104" s="1">
        <v>-3.85E-2</v>
      </c>
      <c r="H104">
        <f>Table1[[#This Row],[High]]-Table1[[#This Row],[Low]]</f>
        <v>0.39999999999999858</v>
      </c>
      <c r="I104">
        <f t="shared" si="4"/>
        <v>10.43047619047619</v>
      </c>
      <c r="J104">
        <f t="shared" si="2"/>
        <v>10.043137254901962</v>
      </c>
      <c r="K104" s="3">
        <f t="shared" si="3"/>
        <v>3.4196891191709877E-2</v>
      </c>
    </row>
    <row r="105" spans="1:11" x14ac:dyDescent="0.25">
      <c r="A105" s="2">
        <v>45811</v>
      </c>
      <c r="B105">
        <v>10.19</v>
      </c>
      <c r="C105">
        <v>9.9700000000000006</v>
      </c>
      <c r="D105">
        <v>10.23</v>
      </c>
      <c r="E105">
        <v>9.89</v>
      </c>
      <c r="F105">
        <v>121.58</v>
      </c>
      <c r="G105" s="1">
        <v>2.1000000000000001E-2</v>
      </c>
      <c r="H105">
        <f>Table1[[#This Row],[High]]-Table1[[#This Row],[Low]]</f>
        <v>0.33999999999999986</v>
      </c>
      <c r="I105">
        <f t="shared" si="4"/>
        <v>10.426190476190474</v>
      </c>
      <c r="J105">
        <f t="shared" si="2"/>
        <v>10.046666666666669</v>
      </c>
      <c r="K105" s="3">
        <f t="shared" si="3"/>
        <v>5.595854922279786E-2</v>
      </c>
    </row>
    <row r="106" spans="1:11" x14ac:dyDescent="0.25">
      <c r="A106" s="2">
        <v>45812</v>
      </c>
      <c r="B106">
        <v>10.24</v>
      </c>
      <c r="C106">
        <v>10.19</v>
      </c>
      <c r="D106">
        <v>10.36</v>
      </c>
      <c r="E106">
        <v>10.18</v>
      </c>
      <c r="F106">
        <v>123.19</v>
      </c>
      <c r="G106" s="1">
        <v>4.8999999999999998E-3</v>
      </c>
      <c r="H106">
        <f>Table1[[#This Row],[High]]-Table1[[#This Row],[Low]]</f>
        <v>0.17999999999999972</v>
      </c>
      <c r="I106">
        <f t="shared" si="4"/>
        <v>10.429523809523809</v>
      </c>
      <c r="J106">
        <f t="shared" si="2"/>
        <v>10.051372549019611</v>
      </c>
      <c r="K106" s="3">
        <f t="shared" si="3"/>
        <v>6.1139896373056946E-2</v>
      </c>
    </row>
    <row r="107" spans="1:11" x14ac:dyDescent="0.25">
      <c r="A107" s="2">
        <v>45813</v>
      </c>
      <c r="B107">
        <v>10.1</v>
      </c>
      <c r="C107">
        <v>10.199999999999999</v>
      </c>
      <c r="D107">
        <v>10.25</v>
      </c>
      <c r="E107">
        <v>10.029999999999999</v>
      </c>
      <c r="F107">
        <v>133.27000000000001</v>
      </c>
      <c r="G107" s="1">
        <v>-1.37E-2</v>
      </c>
      <c r="H107">
        <f>Table1[[#This Row],[High]]-Table1[[#This Row],[Low]]</f>
        <v>0.22000000000000064</v>
      </c>
      <c r="I107">
        <f t="shared" si="4"/>
        <v>10.41333333333333</v>
      </c>
      <c r="J107">
        <f t="shared" si="2"/>
        <v>10.04843137254902</v>
      </c>
      <c r="K107" s="3">
        <f t="shared" si="3"/>
        <v>4.663212435233155E-2</v>
      </c>
    </row>
    <row r="108" spans="1:11" x14ac:dyDescent="0.25">
      <c r="A108" s="2">
        <v>45814</v>
      </c>
      <c r="B108">
        <v>10.26</v>
      </c>
      <c r="C108">
        <v>10.16</v>
      </c>
      <c r="D108">
        <v>10.35</v>
      </c>
      <c r="E108">
        <v>10.15</v>
      </c>
      <c r="F108">
        <v>105.92</v>
      </c>
      <c r="G108" s="1">
        <v>1.5800000000000002E-2</v>
      </c>
      <c r="H108">
        <f>Table1[[#This Row],[High]]-Table1[[#This Row],[Low]]</f>
        <v>0.19999999999999929</v>
      </c>
      <c r="I108">
        <f t="shared" si="4"/>
        <v>10.412380952380952</v>
      </c>
      <c r="J108">
        <f t="shared" si="2"/>
        <v>10.047843137254905</v>
      </c>
      <c r="K108" s="3">
        <f t="shared" si="3"/>
        <v>6.3212435233160669E-2</v>
      </c>
    </row>
    <row r="109" spans="1:11" x14ac:dyDescent="0.25">
      <c r="A109" s="2">
        <v>45817</v>
      </c>
      <c r="B109">
        <v>10.34</v>
      </c>
      <c r="C109">
        <v>10.29</v>
      </c>
      <c r="D109">
        <v>10.45</v>
      </c>
      <c r="E109">
        <v>10.29</v>
      </c>
      <c r="F109">
        <v>63.64</v>
      </c>
      <c r="G109" s="1">
        <v>7.7999999999999996E-3</v>
      </c>
      <c r="H109">
        <f>Table1[[#This Row],[High]]-Table1[[#This Row],[Low]]</f>
        <v>0.16000000000000014</v>
      </c>
      <c r="I109">
        <f t="shared" si="4"/>
        <v>10.415238095238093</v>
      </c>
      <c r="J109">
        <f t="shared" si="2"/>
        <v>10.048627450980394</v>
      </c>
      <c r="K109" s="3">
        <f t="shared" si="3"/>
        <v>7.1502590673575117E-2</v>
      </c>
    </row>
    <row r="110" spans="1:11" x14ac:dyDescent="0.25">
      <c r="A110" s="2">
        <v>45818</v>
      </c>
      <c r="B110">
        <v>10.6</v>
      </c>
      <c r="C110">
        <v>10.38</v>
      </c>
      <c r="D110">
        <v>10.65</v>
      </c>
      <c r="E110">
        <v>10.36</v>
      </c>
      <c r="F110">
        <v>87.96</v>
      </c>
      <c r="G110" s="1">
        <v>2.5100000000000001E-2</v>
      </c>
      <c r="H110">
        <f>Table1[[#This Row],[High]]-Table1[[#This Row],[Low]]</f>
        <v>0.29000000000000092</v>
      </c>
      <c r="I110">
        <f t="shared" si="4"/>
        <v>10.423333333333332</v>
      </c>
      <c r="J110">
        <f t="shared" si="2"/>
        <v>10.062352941176472</v>
      </c>
      <c r="K110" s="3">
        <f t="shared" si="3"/>
        <v>9.8445595854922185E-2</v>
      </c>
    </row>
    <row r="111" spans="1:11" x14ac:dyDescent="0.25">
      <c r="A111" s="2">
        <v>45819</v>
      </c>
      <c r="B111">
        <v>10.66</v>
      </c>
      <c r="C111">
        <v>10.64</v>
      </c>
      <c r="D111">
        <v>10.77</v>
      </c>
      <c r="E111">
        <v>10.61</v>
      </c>
      <c r="F111">
        <v>93.09</v>
      </c>
      <c r="G111" s="1">
        <v>5.7000000000000002E-3</v>
      </c>
      <c r="H111">
        <f>Table1[[#This Row],[High]]-Table1[[#This Row],[Low]]</f>
        <v>0.16000000000000014</v>
      </c>
      <c r="I111">
        <f t="shared" si="4"/>
        <v>10.428571428571427</v>
      </c>
      <c r="J111">
        <f t="shared" si="2"/>
        <v>10.080784313725493</v>
      </c>
      <c r="K111" s="3">
        <f t="shared" si="3"/>
        <v>0.10466321243523313</v>
      </c>
    </row>
    <row r="112" spans="1:11" x14ac:dyDescent="0.25">
      <c r="A112" s="2">
        <v>45820</v>
      </c>
      <c r="B112">
        <v>10.53</v>
      </c>
      <c r="C112">
        <v>10.58</v>
      </c>
      <c r="D112">
        <v>10.59</v>
      </c>
      <c r="E112">
        <v>10.43</v>
      </c>
      <c r="F112">
        <v>76.39</v>
      </c>
      <c r="G112" s="1">
        <v>-1.2200000000000001E-2</v>
      </c>
      <c r="H112">
        <f>Table1[[#This Row],[High]]-Table1[[#This Row],[Low]]</f>
        <v>0.16000000000000014</v>
      </c>
      <c r="I112">
        <f t="shared" si="4"/>
        <v>10.425238095238095</v>
      </c>
      <c r="J112">
        <f t="shared" si="2"/>
        <v>10.090588235294122</v>
      </c>
      <c r="K112" s="3">
        <f t="shared" si="3"/>
        <v>9.1191709844559377E-2</v>
      </c>
    </row>
    <row r="113" spans="1:11" x14ac:dyDescent="0.25">
      <c r="A113" s="2">
        <v>45821</v>
      </c>
      <c r="B113">
        <v>10.43</v>
      </c>
      <c r="C113">
        <v>10.47</v>
      </c>
      <c r="D113">
        <v>10.51</v>
      </c>
      <c r="E113">
        <v>10.38</v>
      </c>
      <c r="F113">
        <v>90.11</v>
      </c>
      <c r="G113" s="1">
        <v>-9.4999999999999998E-3</v>
      </c>
      <c r="H113">
        <f>Table1[[#This Row],[High]]-Table1[[#This Row],[Low]]</f>
        <v>0.12999999999999901</v>
      </c>
      <c r="I113">
        <f t="shared" si="4"/>
        <v>10.414761904761905</v>
      </c>
      <c r="J113">
        <f t="shared" si="2"/>
        <v>10.100196078431376</v>
      </c>
      <c r="K113" s="3">
        <f t="shared" si="3"/>
        <v>8.0829015544041427E-2</v>
      </c>
    </row>
    <row r="114" spans="1:11" x14ac:dyDescent="0.25">
      <c r="A114" s="2">
        <v>45824</v>
      </c>
      <c r="B114">
        <v>10.62</v>
      </c>
      <c r="C114">
        <v>10.5</v>
      </c>
      <c r="D114">
        <v>10.67</v>
      </c>
      <c r="E114">
        <v>10.5</v>
      </c>
      <c r="F114">
        <v>75.2</v>
      </c>
      <c r="G114" s="1">
        <v>1.8200000000000001E-2</v>
      </c>
      <c r="H114">
        <f>Table1[[#This Row],[High]]-Table1[[#This Row],[Low]]</f>
        <v>0.16999999999999993</v>
      </c>
      <c r="I114">
        <f t="shared" si="4"/>
        <v>10.408571428571427</v>
      </c>
      <c r="J114">
        <f t="shared" si="2"/>
        <v>10.109411764705886</v>
      </c>
      <c r="K114" s="3">
        <f t="shared" si="3"/>
        <v>0.10051813471502569</v>
      </c>
    </row>
    <row r="115" spans="1:11" x14ac:dyDescent="0.25">
      <c r="A115" s="2">
        <v>45825</v>
      </c>
      <c r="B115">
        <v>10.42</v>
      </c>
      <c r="C115">
        <v>10.59</v>
      </c>
      <c r="D115">
        <v>10.63</v>
      </c>
      <c r="E115">
        <v>10.38</v>
      </c>
      <c r="F115">
        <v>100.97</v>
      </c>
      <c r="G115" s="1">
        <v>-1.8800000000000001E-2</v>
      </c>
      <c r="H115">
        <f>Table1[[#This Row],[High]]-Table1[[#This Row],[Low]]</f>
        <v>0.25</v>
      </c>
      <c r="I115">
        <f t="shared" si="4"/>
        <v>10.390476190476189</v>
      </c>
      <c r="J115">
        <f t="shared" si="2"/>
        <v>10.12666666666667</v>
      </c>
      <c r="K115" s="3">
        <f t="shared" si="3"/>
        <v>7.9792746113989566E-2</v>
      </c>
    </row>
    <row r="116" spans="1:11" x14ac:dyDescent="0.25">
      <c r="A116" s="2">
        <v>45826</v>
      </c>
      <c r="B116">
        <v>10.43</v>
      </c>
      <c r="C116">
        <v>10.43</v>
      </c>
      <c r="D116">
        <v>10.53</v>
      </c>
      <c r="E116">
        <v>10.4</v>
      </c>
      <c r="F116">
        <v>82.77</v>
      </c>
      <c r="G116" s="1">
        <v>1E-3</v>
      </c>
      <c r="H116">
        <f>Table1[[#This Row],[High]]-Table1[[#This Row],[Low]]</f>
        <v>0.12999999999999901</v>
      </c>
      <c r="I116">
        <f t="shared" si="4"/>
        <v>10.375238095238094</v>
      </c>
      <c r="J116">
        <f t="shared" si="2"/>
        <v>10.143333333333336</v>
      </c>
      <c r="K116" s="3">
        <f t="shared" si="3"/>
        <v>8.0829015544041427E-2</v>
      </c>
    </row>
    <row r="117" spans="1:11" x14ac:dyDescent="0.25">
      <c r="A117" s="2">
        <v>45828</v>
      </c>
      <c r="B117">
        <v>10.59</v>
      </c>
      <c r="C117">
        <v>10.49</v>
      </c>
      <c r="D117">
        <v>10.6</v>
      </c>
      <c r="E117">
        <v>10.46</v>
      </c>
      <c r="F117">
        <v>116.74</v>
      </c>
      <c r="G117" s="1">
        <v>1.5299999999999999E-2</v>
      </c>
      <c r="H117">
        <f>Table1[[#This Row],[High]]-Table1[[#This Row],[Low]]</f>
        <v>0.13999999999999879</v>
      </c>
      <c r="I117">
        <f t="shared" si="4"/>
        <v>10.369047619047619</v>
      </c>
      <c r="J117">
        <f t="shared" ref="J117:J180" si="5">AVERAGE(B67:B117)</f>
        <v>10.169803921568631</v>
      </c>
      <c r="K117" s="3">
        <f t="shared" si="3"/>
        <v>9.7409326424870324E-2</v>
      </c>
    </row>
    <row r="118" spans="1:11" x14ac:dyDescent="0.25">
      <c r="A118" s="2">
        <v>45831</v>
      </c>
      <c r="B118">
        <v>10.75</v>
      </c>
      <c r="C118">
        <v>10.55</v>
      </c>
      <c r="D118">
        <v>10.75</v>
      </c>
      <c r="E118">
        <v>10.53</v>
      </c>
      <c r="F118">
        <v>77.58</v>
      </c>
      <c r="G118" s="1">
        <v>1.5100000000000001E-2</v>
      </c>
      <c r="H118">
        <f>Table1[[#This Row],[High]]-Table1[[#This Row],[Low]]</f>
        <v>0.22000000000000064</v>
      </c>
      <c r="I118">
        <f t="shared" si="4"/>
        <v>10.381904761904762</v>
      </c>
      <c r="J118">
        <f t="shared" si="5"/>
        <v>10.210196078431375</v>
      </c>
      <c r="K118" s="3">
        <f t="shared" si="3"/>
        <v>0.11398963730569944</v>
      </c>
    </row>
    <row r="119" spans="1:11" x14ac:dyDescent="0.25">
      <c r="A119" s="2">
        <v>45832</v>
      </c>
      <c r="B119">
        <v>10.73</v>
      </c>
      <c r="C119">
        <v>10.79</v>
      </c>
      <c r="D119">
        <v>10.87</v>
      </c>
      <c r="E119">
        <v>10.72</v>
      </c>
      <c r="F119">
        <v>77.239999999999995</v>
      </c>
      <c r="G119" s="1">
        <v>-1.9E-3</v>
      </c>
      <c r="H119">
        <f>Table1[[#This Row],[High]]-Table1[[#This Row],[Low]]</f>
        <v>0.14999999999999858</v>
      </c>
      <c r="I119">
        <f t="shared" si="4"/>
        <v>10.395714285714286</v>
      </c>
      <c r="J119">
        <f t="shared" si="5"/>
        <v>10.2343137254902</v>
      </c>
      <c r="K119" s="3">
        <f t="shared" si="3"/>
        <v>0.11191709844559594</v>
      </c>
    </row>
    <row r="120" spans="1:11" x14ac:dyDescent="0.25">
      <c r="A120" s="2">
        <v>45833</v>
      </c>
      <c r="B120">
        <v>10.48</v>
      </c>
      <c r="C120">
        <v>10.76</v>
      </c>
      <c r="D120">
        <v>10.77</v>
      </c>
      <c r="E120">
        <v>10.42</v>
      </c>
      <c r="F120">
        <v>91.93</v>
      </c>
      <c r="G120" s="1">
        <v>-2.3300000000000001E-2</v>
      </c>
      <c r="H120">
        <f>Table1[[#This Row],[High]]-Table1[[#This Row],[Low]]</f>
        <v>0.34999999999999964</v>
      </c>
      <c r="I120">
        <f t="shared" si="4"/>
        <v>10.401428571428571</v>
      </c>
      <c r="J120">
        <f t="shared" si="5"/>
        <v>10.260588235294122</v>
      </c>
      <c r="K120" s="3">
        <f t="shared" si="3"/>
        <v>8.6010362694300513E-2</v>
      </c>
    </row>
    <row r="121" spans="1:11" x14ac:dyDescent="0.25">
      <c r="A121" s="2">
        <v>45834</v>
      </c>
      <c r="B121">
        <v>10.63</v>
      </c>
      <c r="C121">
        <v>10.5</v>
      </c>
      <c r="D121">
        <v>10.65</v>
      </c>
      <c r="E121">
        <v>10.47</v>
      </c>
      <c r="F121">
        <v>88.42</v>
      </c>
      <c r="G121" s="1">
        <v>1.43E-2</v>
      </c>
      <c r="H121">
        <f>Table1[[#This Row],[High]]-Table1[[#This Row],[Low]]</f>
        <v>0.17999999999999972</v>
      </c>
      <c r="I121">
        <f t="shared" si="4"/>
        <v>10.416666666666666</v>
      </c>
      <c r="J121">
        <f t="shared" si="5"/>
        <v>10.286078431372552</v>
      </c>
      <c r="K121" s="3">
        <f t="shared" si="3"/>
        <v>0.10155440414507777</v>
      </c>
    </row>
    <row r="122" spans="1:11" x14ac:dyDescent="0.25">
      <c r="A122" s="2">
        <v>45835</v>
      </c>
      <c r="B122">
        <v>10.8</v>
      </c>
      <c r="C122">
        <v>10.7</v>
      </c>
      <c r="D122">
        <v>10.92</v>
      </c>
      <c r="E122">
        <v>10.68</v>
      </c>
      <c r="F122">
        <v>182.01</v>
      </c>
      <c r="G122" s="1">
        <v>1.6E-2</v>
      </c>
      <c r="H122">
        <f>Table1[[#This Row],[High]]-Table1[[#This Row],[Low]]</f>
        <v>0.24000000000000021</v>
      </c>
      <c r="I122">
        <f t="shared" si="4"/>
        <v>10.446666666666667</v>
      </c>
      <c r="J122">
        <f t="shared" si="5"/>
        <v>10.30745098039216</v>
      </c>
      <c r="K122" s="3">
        <f t="shared" si="3"/>
        <v>0.11917098445595853</v>
      </c>
    </row>
    <row r="123" spans="1:11" x14ac:dyDescent="0.25">
      <c r="A123" s="2">
        <v>45838</v>
      </c>
      <c r="B123">
        <v>10.85</v>
      </c>
      <c r="C123">
        <v>10.72</v>
      </c>
      <c r="D123">
        <v>10.86</v>
      </c>
      <c r="E123">
        <v>10.69</v>
      </c>
      <c r="F123">
        <v>88.47</v>
      </c>
      <c r="G123" s="1">
        <v>4.5999999999999999E-3</v>
      </c>
      <c r="H123">
        <f>Table1[[#This Row],[High]]-Table1[[#This Row],[Low]]</f>
        <v>0.16999999999999993</v>
      </c>
      <c r="I123">
        <f t="shared" si="4"/>
        <v>10.476666666666665</v>
      </c>
      <c r="J123">
        <f t="shared" si="5"/>
        <v>10.334901960784316</v>
      </c>
      <c r="K123" s="3">
        <f t="shared" si="3"/>
        <v>0.12435233160621761</v>
      </c>
    </row>
    <row r="124" spans="1:11" x14ac:dyDescent="0.25">
      <c r="A124" s="2">
        <v>45839</v>
      </c>
      <c r="B124">
        <v>11.35</v>
      </c>
      <c r="C124">
        <v>10.81</v>
      </c>
      <c r="D124">
        <v>11.38</v>
      </c>
      <c r="E124">
        <v>10.79</v>
      </c>
      <c r="F124">
        <v>140.15</v>
      </c>
      <c r="G124" s="1">
        <v>4.6100000000000002E-2</v>
      </c>
      <c r="H124">
        <f>Table1[[#This Row],[High]]-Table1[[#This Row],[Low]]</f>
        <v>0.59000000000000163</v>
      </c>
      <c r="I124">
        <f t="shared" si="4"/>
        <v>10.522857142857141</v>
      </c>
      <c r="J124">
        <f t="shared" si="5"/>
        <v>10.373137254901964</v>
      </c>
      <c r="K124" s="3">
        <f t="shared" si="3"/>
        <v>0.17616580310880825</v>
      </c>
    </row>
    <row r="125" spans="1:11" x14ac:dyDescent="0.25">
      <c r="A125" s="2">
        <v>45840</v>
      </c>
      <c r="B125">
        <v>11.77</v>
      </c>
      <c r="C125">
        <v>11.38</v>
      </c>
      <c r="D125">
        <v>11.78</v>
      </c>
      <c r="E125">
        <v>11.37</v>
      </c>
      <c r="F125">
        <v>122.33</v>
      </c>
      <c r="G125" s="1">
        <v>3.6999999999999998E-2</v>
      </c>
      <c r="H125">
        <f>Table1[[#This Row],[High]]-Table1[[#This Row],[Low]]</f>
        <v>0.41000000000000014</v>
      </c>
      <c r="I125">
        <f t="shared" si="4"/>
        <v>10.608095238095236</v>
      </c>
      <c r="J125">
        <f t="shared" si="5"/>
        <v>10.415098039215691</v>
      </c>
      <c r="K125" s="3">
        <f t="shared" si="3"/>
        <v>0.21968911917098444</v>
      </c>
    </row>
    <row r="126" spans="1:11" x14ac:dyDescent="0.25">
      <c r="A126" s="2">
        <v>45841</v>
      </c>
      <c r="B126">
        <v>11.81</v>
      </c>
      <c r="C126">
        <v>11.75</v>
      </c>
      <c r="D126">
        <v>11.96</v>
      </c>
      <c r="E126">
        <v>11.75</v>
      </c>
      <c r="F126">
        <v>60.31</v>
      </c>
      <c r="G126" s="1">
        <v>3.3999999999999998E-3</v>
      </c>
      <c r="H126">
        <f>Table1[[#This Row],[High]]-Table1[[#This Row],[Low]]</f>
        <v>0.21000000000000085</v>
      </c>
      <c r="I126">
        <f t="shared" si="4"/>
        <v>10.685238095238095</v>
      </c>
      <c r="J126">
        <f t="shared" si="5"/>
        <v>10.460980392156864</v>
      </c>
      <c r="K126" s="3">
        <f t="shared" si="3"/>
        <v>0.22383419689119166</v>
      </c>
    </row>
    <row r="127" spans="1:11" x14ac:dyDescent="0.25">
      <c r="A127" s="2">
        <v>45845</v>
      </c>
      <c r="B127">
        <v>11.59</v>
      </c>
      <c r="C127">
        <v>11.6</v>
      </c>
      <c r="D127">
        <v>11.79</v>
      </c>
      <c r="E127">
        <v>11.48</v>
      </c>
      <c r="F127">
        <v>73.84</v>
      </c>
      <c r="G127" s="1">
        <v>-1.8599999999999998E-2</v>
      </c>
      <c r="H127">
        <f>Table1[[#This Row],[High]]-Table1[[#This Row],[Low]]</f>
        <v>0.30999999999999872</v>
      </c>
      <c r="I127">
        <f t="shared" si="4"/>
        <v>10.749523809523808</v>
      </c>
      <c r="J127">
        <f t="shared" si="5"/>
        <v>10.49901960784314</v>
      </c>
      <c r="K127" s="3">
        <f t="shared" si="3"/>
        <v>0.20103626943005182</v>
      </c>
    </row>
    <row r="128" spans="1:11" x14ac:dyDescent="0.25">
      <c r="A128" s="2">
        <v>45846</v>
      </c>
      <c r="B128">
        <v>11.68</v>
      </c>
      <c r="C128">
        <v>11.65</v>
      </c>
      <c r="D128">
        <v>11.85</v>
      </c>
      <c r="E128">
        <v>11.64</v>
      </c>
      <c r="F128">
        <v>74.19</v>
      </c>
      <c r="G128" s="1">
        <v>7.7999999999999996E-3</v>
      </c>
      <c r="H128">
        <f>Table1[[#This Row],[High]]-Table1[[#This Row],[Low]]</f>
        <v>0.20999999999999908</v>
      </c>
      <c r="I128">
        <f t="shared" si="4"/>
        <v>10.824761904761905</v>
      </c>
      <c r="J128">
        <f t="shared" si="5"/>
        <v>10.536274509803922</v>
      </c>
      <c r="K128" s="3">
        <f t="shared" si="3"/>
        <v>0.21036269430051813</v>
      </c>
    </row>
    <row r="129" spans="1:11" x14ac:dyDescent="0.25">
      <c r="A129" s="2">
        <v>45847</v>
      </c>
      <c r="B129">
        <v>11.83</v>
      </c>
      <c r="C129">
        <v>11.78</v>
      </c>
      <c r="D129">
        <v>11.9</v>
      </c>
      <c r="E129">
        <v>11.76</v>
      </c>
      <c r="F129">
        <v>63.89</v>
      </c>
      <c r="G129" s="1">
        <v>1.2800000000000001E-2</v>
      </c>
      <c r="H129">
        <f>Table1[[#This Row],[High]]-Table1[[#This Row],[Low]]</f>
        <v>0.14000000000000057</v>
      </c>
      <c r="I129">
        <f t="shared" si="4"/>
        <v>10.899523809523812</v>
      </c>
      <c r="J129">
        <f t="shared" si="5"/>
        <v>10.570980392156866</v>
      </c>
      <c r="K129" s="3">
        <f t="shared" si="3"/>
        <v>0.22590673575129538</v>
      </c>
    </row>
    <row r="130" spans="1:11" x14ac:dyDescent="0.25">
      <c r="A130" s="2">
        <v>45848</v>
      </c>
      <c r="B130">
        <v>11.91</v>
      </c>
      <c r="C130">
        <v>11.86</v>
      </c>
      <c r="D130">
        <v>11.97</v>
      </c>
      <c r="E130">
        <v>11.78</v>
      </c>
      <c r="F130">
        <v>67.260000000000005</v>
      </c>
      <c r="G130" s="1">
        <v>6.7999999999999996E-3</v>
      </c>
      <c r="H130">
        <f>Table1[[#This Row],[High]]-Table1[[#This Row],[Low]]</f>
        <v>0.19000000000000128</v>
      </c>
      <c r="I130">
        <f t="shared" si="4"/>
        <v>10.974285714285717</v>
      </c>
      <c r="J130">
        <f t="shared" si="5"/>
        <v>10.607647058823529</v>
      </c>
      <c r="K130" s="3">
        <f t="shared" ref="K130:K193" si="6">(B130/$B$2)-1</f>
        <v>0.23419689119170983</v>
      </c>
    </row>
    <row r="131" spans="1:11" x14ac:dyDescent="0.25">
      <c r="A131" s="2">
        <v>45849</v>
      </c>
      <c r="B131">
        <v>11.78</v>
      </c>
      <c r="C131">
        <v>11.85</v>
      </c>
      <c r="D131">
        <v>11.86</v>
      </c>
      <c r="E131">
        <v>11.71</v>
      </c>
      <c r="F131">
        <v>65.34</v>
      </c>
      <c r="G131" s="1">
        <v>-1.09E-2</v>
      </c>
      <c r="H131">
        <f>Table1[[#This Row],[High]]-Table1[[#This Row],[Low]]</f>
        <v>0.14999999999999858</v>
      </c>
      <c r="I131">
        <f t="shared" si="4"/>
        <v>11.030476190476191</v>
      </c>
      <c r="J131">
        <f t="shared" si="5"/>
        <v>10.642156862745098</v>
      </c>
      <c r="K131" s="3">
        <f t="shared" si="6"/>
        <v>0.22072538860103608</v>
      </c>
    </row>
    <row r="132" spans="1:11" x14ac:dyDescent="0.25">
      <c r="A132" s="2">
        <v>45852</v>
      </c>
      <c r="B132">
        <v>11.88</v>
      </c>
      <c r="C132">
        <v>11.76</v>
      </c>
      <c r="D132">
        <v>11.9</v>
      </c>
      <c r="E132">
        <v>11.67</v>
      </c>
      <c r="F132">
        <v>62.1</v>
      </c>
      <c r="G132" s="1">
        <v>8.5000000000000006E-3</v>
      </c>
      <c r="H132">
        <f>Table1[[#This Row],[High]]-Table1[[#This Row],[Low]]</f>
        <v>0.23000000000000043</v>
      </c>
      <c r="I132">
        <f t="shared" si="4"/>
        <v>11.088571428571429</v>
      </c>
      <c r="J132">
        <f t="shared" si="5"/>
        <v>10.676078431372547</v>
      </c>
      <c r="K132" s="3">
        <f t="shared" si="6"/>
        <v>0.23108808290155447</v>
      </c>
    </row>
    <row r="133" spans="1:11" x14ac:dyDescent="0.25">
      <c r="A133" s="2">
        <v>45853</v>
      </c>
      <c r="B133">
        <v>11.57</v>
      </c>
      <c r="C133">
        <v>11.9</v>
      </c>
      <c r="D133">
        <v>11.93</v>
      </c>
      <c r="E133">
        <v>11.52</v>
      </c>
      <c r="F133">
        <v>65.099999999999994</v>
      </c>
      <c r="G133" s="1">
        <v>-2.6100000000000002E-2</v>
      </c>
      <c r="H133">
        <f>Table1[[#This Row],[High]]-Table1[[#This Row],[Low]]</f>
        <v>0.41000000000000014</v>
      </c>
      <c r="I133">
        <f t="shared" si="4"/>
        <v>11.138095238095238</v>
      </c>
      <c r="J133">
        <f t="shared" si="5"/>
        <v>10.706666666666669</v>
      </c>
      <c r="K133" s="3">
        <f t="shared" si="6"/>
        <v>0.19896373056994809</v>
      </c>
    </row>
    <row r="134" spans="1:11" x14ac:dyDescent="0.25">
      <c r="A134" s="2">
        <v>45854</v>
      </c>
      <c r="B134">
        <v>11.24</v>
      </c>
      <c r="C134">
        <v>11.35</v>
      </c>
      <c r="D134">
        <v>11.45</v>
      </c>
      <c r="E134">
        <v>11.15</v>
      </c>
      <c r="F134">
        <v>107.98</v>
      </c>
      <c r="G134" s="1">
        <v>-2.8500000000000001E-2</v>
      </c>
      <c r="H134">
        <f>Table1[[#This Row],[High]]-Table1[[#This Row],[Low]]</f>
        <v>0.29999999999999893</v>
      </c>
      <c r="I134">
        <f t="shared" si="4"/>
        <v>11.176666666666668</v>
      </c>
      <c r="J134">
        <f t="shared" si="5"/>
        <v>10.72745098039216</v>
      </c>
      <c r="K134" s="3">
        <f t="shared" si="6"/>
        <v>0.16476683937823822</v>
      </c>
    </row>
    <row r="135" spans="1:11" x14ac:dyDescent="0.25">
      <c r="A135" s="2">
        <v>45855</v>
      </c>
      <c r="B135">
        <v>11.15</v>
      </c>
      <c r="C135">
        <v>11.19</v>
      </c>
      <c r="D135">
        <v>11.35</v>
      </c>
      <c r="E135">
        <v>11.11</v>
      </c>
      <c r="F135">
        <v>70.349999999999994</v>
      </c>
      <c r="G135" s="1">
        <v>-8.0000000000000002E-3</v>
      </c>
      <c r="H135">
        <f>Table1[[#This Row],[High]]-Table1[[#This Row],[Low]]</f>
        <v>0.24000000000000021</v>
      </c>
      <c r="I135">
        <f t="shared" si="4"/>
        <v>11.201904761904762</v>
      </c>
      <c r="J135">
        <f t="shared" si="5"/>
        <v>10.744509803921568</v>
      </c>
      <c r="K135" s="3">
        <f t="shared" si="6"/>
        <v>0.15544041450777191</v>
      </c>
    </row>
    <row r="136" spans="1:11" x14ac:dyDescent="0.25">
      <c r="A136" s="2">
        <v>45856</v>
      </c>
      <c r="B136">
        <v>11.16</v>
      </c>
      <c r="C136">
        <v>11.17</v>
      </c>
      <c r="D136">
        <v>11.24</v>
      </c>
      <c r="E136">
        <v>11.05</v>
      </c>
      <c r="F136">
        <v>68.81</v>
      </c>
      <c r="G136" s="1">
        <v>8.9999999999999998E-4</v>
      </c>
      <c r="H136">
        <f>Table1[[#This Row],[High]]-Table1[[#This Row],[Low]]</f>
        <v>0.1899999999999995</v>
      </c>
      <c r="I136">
        <f t="shared" si="4"/>
        <v>11.237142857142858</v>
      </c>
      <c r="J136">
        <f t="shared" si="5"/>
        <v>10.763921568627453</v>
      </c>
      <c r="K136" s="3">
        <f t="shared" si="6"/>
        <v>0.15647668393782377</v>
      </c>
    </row>
    <row r="137" spans="1:11" x14ac:dyDescent="0.25">
      <c r="A137" s="2">
        <v>45859</v>
      </c>
      <c r="B137">
        <v>11.31</v>
      </c>
      <c r="C137">
        <v>11.26</v>
      </c>
      <c r="D137">
        <v>11.45</v>
      </c>
      <c r="E137">
        <v>11.21</v>
      </c>
      <c r="F137">
        <v>65.52</v>
      </c>
      <c r="G137" s="1">
        <v>1.34E-2</v>
      </c>
      <c r="H137">
        <f>Table1[[#This Row],[High]]-Table1[[#This Row],[Low]]</f>
        <v>0.23999999999999844</v>
      </c>
      <c r="I137">
        <f t="shared" si="4"/>
        <v>11.279047619047621</v>
      </c>
      <c r="J137">
        <f t="shared" si="5"/>
        <v>10.780980392156859</v>
      </c>
      <c r="K137" s="3">
        <f t="shared" si="6"/>
        <v>0.17202072538860103</v>
      </c>
    </row>
    <row r="138" spans="1:11" x14ac:dyDescent="0.25">
      <c r="A138" s="2">
        <v>45860</v>
      </c>
      <c r="B138">
        <v>11.19</v>
      </c>
      <c r="C138">
        <v>11.24</v>
      </c>
      <c r="D138">
        <v>11.29</v>
      </c>
      <c r="E138">
        <v>11.08</v>
      </c>
      <c r="F138">
        <v>79.400000000000006</v>
      </c>
      <c r="G138" s="1">
        <v>-1.06E-2</v>
      </c>
      <c r="H138">
        <f>Table1[[#This Row],[High]]-Table1[[#This Row],[Low]]</f>
        <v>0.20999999999999908</v>
      </c>
      <c r="I138">
        <f t="shared" si="4"/>
        <v>11.307619047619047</v>
      </c>
      <c r="J138">
        <f t="shared" si="5"/>
        <v>10.798823529411765</v>
      </c>
      <c r="K138" s="3">
        <f t="shared" si="6"/>
        <v>0.15958549222797913</v>
      </c>
    </row>
    <row r="139" spans="1:11" x14ac:dyDescent="0.25">
      <c r="A139" s="2">
        <v>45861</v>
      </c>
      <c r="B139">
        <v>11.38</v>
      </c>
      <c r="C139">
        <v>11.28</v>
      </c>
      <c r="D139">
        <v>11.46</v>
      </c>
      <c r="E139">
        <v>11.28</v>
      </c>
      <c r="F139">
        <v>76.16</v>
      </c>
      <c r="G139" s="1">
        <v>1.7000000000000001E-2</v>
      </c>
      <c r="H139">
        <f>Table1[[#This Row],[High]]-Table1[[#This Row],[Low]]</f>
        <v>0.18000000000000149</v>
      </c>
      <c r="I139">
        <f t="shared" si="4"/>
        <v>11.337619047619048</v>
      </c>
      <c r="J139">
        <f t="shared" si="5"/>
        <v>10.820392156862743</v>
      </c>
      <c r="K139" s="3">
        <f t="shared" si="6"/>
        <v>0.17927461139896383</v>
      </c>
    </row>
    <row r="140" spans="1:11" x14ac:dyDescent="0.25">
      <c r="A140" s="2">
        <v>45862</v>
      </c>
      <c r="B140">
        <v>11.26</v>
      </c>
      <c r="C140">
        <v>11.31</v>
      </c>
      <c r="D140">
        <v>11.43</v>
      </c>
      <c r="E140">
        <v>11.23</v>
      </c>
      <c r="F140">
        <v>63.56</v>
      </c>
      <c r="G140" s="1">
        <v>-1.0500000000000001E-2</v>
      </c>
      <c r="H140">
        <f>Table1[[#This Row],[High]]-Table1[[#This Row],[Low]]</f>
        <v>0.19999999999999929</v>
      </c>
      <c r="I140">
        <f t="shared" si="4"/>
        <v>11.362857142857141</v>
      </c>
      <c r="J140">
        <f t="shared" si="5"/>
        <v>10.836666666666668</v>
      </c>
      <c r="K140" s="3">
        <f t="shared" si="6"/>
        <v>0.16683937823834194</v>
      </c>
    </row>
    <row r="141" spans="1:11" x14ac:dyDescent="0.25">
      <c r="A141" s="2">
        <v>45863</v>
      </c>
      <c r="B141">
        <v>11.47</v>
      </c>
      <c r="C141">
        <v>11.34</v>
      </c>
      <c r="D141">
        <v>11.49</v>
      </c>
      <c r="E141">
        <v>11.24</v>
      </c>
      <c r="F141">
        <v>52.31</v>
      </c>
      <c r="G141" s="1">
        <v>1.8700000000000001E-2</v>
      </c>
      <c r="H141">
        <f>Table1[[#This Row],[High]]-Table1[[#This Row],[Low]]</f>
        <v>0.25</v>
      </c>
      <c r="I141">
        <f t="shared" si="4"/>
        <v>11.41</v>
      </c>
      <c r="J141">
        <f t="shared" si="5"/>
        <v>10.854705882352942</v>
      </c>
      <c r="K141" s="3">
        <f t="shared" si="6"/>
        <v>0.18860103626943014</v>
      </c>
    </row>
    <row r="142" spans="1:11" x14ac:dyDescent="0.25">
      <c r="A142" s="2">
        <v>45866</v>
      </c>
      <c r="B142">
        <v>11.28</v>
      </c>
      <c r="C142">
        <v>11.48</v>
      </c>
      <c r="D142">
        <v>11.49</v>
      </c>
      <c r="E142">
        <v>11.25</v>
      </c>
      <c r="F142">
        <v>54.17</v>
      </c>
      <c r="G142" s="1">
        <v>-1.66E-2</v>
      </c>
      <c r="H142">
        <f>Table1[[#This Row],[High]]-Table1[[#This Row],[Low]]</f>
        <v>0.24000000000000021</v>
      </c>
      <c r="I142">
        <f t="shared" si="4"/>
        <v>11.44095238095238</v>
      </c>
      <c r="J142">
        <f t="shared" si="5"/>
        <v>10.868039215686274</v>
      </c>
      <c r="K142" s="3">
        <f t="shared" si="6"/>
        <v>0.16891191709844544</v>
      </c>
    </row>
    <row r="143" spans="1:11" x14ac:dyDescent="0.25">
      <c r="A143" s="2">
        <v>45867</v>
      </c>
      <c r="B143">
        <v>11.08</v>
      </c>
      <c r="C143">
        <v>11.29</v>
      </c>
      <c r="D143">
        <v>11.29</v>
      </c>
      <c r="E143">
        <v>11.06</v>
      </c>
      <c r="F143">
        <v>58.37</v>
      </c>
      <c r="G143" s="1">
        <v>-1.77E-2</v>
      </c>
      <c r="H143">
        <f>Table1[[#This Row],[High]]-Table1[[#This Row],[Low]]</f>
        <v>0.22999999999999865</v>
      </c>
      <c r="I143">
        <f t="shared" si="4"/>
        <v>11.454285714285716</v>
      </c>
      <c r="J143">
        <f t="shared" si="5"/>
        <v>10.876470588235295</v>
      </c>
      <c r="K143" s="3">
        <f t="shared" si="6"/>
        <v>0.14818652849740932</v>
      </c>
    </row>
    <row r="144" spans="1:11" x14ac:dyDescent="0.25">
      <c r="A144" s="2">
        <v>45868</v>
      </c>
      <c r="B144">
        <v>10.87</v>
      </c>
      <c r="C144">
        <v>11.13</v>
      </c>
      <c r="D144">
        <v>11.13</v>
      </c>
      <c r="E144">
        <v>10.82</v>
      </c>
      <c r="F144">
        <v>79.87</v>
      </c>
      <c r="G144" s="1">
        <v>-1.9E-2</v>
      </c>
      <c r="H144">
        <f>Table1[[#This Row],[High]]-Table1[[#This Row],[Low]]</f>
        <v>0.3100000000000005</v>
      </c>
      <c r="I144">
        <f t="shared" si="4"/>
        <v>11.455238095238096</v>
      </c>
      <c r="J144">
        <f t="shared" si="5"/>
        <v>10.878823529411767</v>
      </c>
      <c r="K144" s="3">
        <f t="shared" si="6"/>
        <v>0.12642487046632112</v>
      </c>
    </row>
    <row r="145" spans="1:11" x14ac:dyDescent="0.25">
      <c r="A145" s="2">
        <v>45869</v>
      </c>
      <c r="B145">
        <v>11.07</v>
      </c>
      <c r="C145">
        <v>10.77</v>
      </c>
      <c r="D145">
        <v>11.15</v>
      </c>
      <c r="E145">
        <v>10.68</v>
      </c>
      <c r="F145">
        <v>101.09</v>
      </c>
      <c r="G145" s="1">
        <v>1.84E-2</v>
      </c>
      <c r="H145">
        <f>Table1[[#This Row],[High]]-Table1[[#This Row],[Low]]</f>
        <v>0.47000000000000064</v>
      </c>
      <c r="I145">
        <f t="shared" si="4"/>
        <v>11.441904761904761</v>
      </c>
      <c r="J145">
        <f t="shared" si="5"/>
        <v>10.884117647058826</v>
      </c>
      <c r="K145" s="3">
        <f t="shared" si="6"/>
        <v>0.14715025906735746</v>
      </c>
    </row>
    <row r="146" spans="1:11" x14ac:dyDescent="0.25">
      <c r="A146" s="2">
        <v>45870</v>
      </c>
      <c r="B146">
        <v>10.82</v>
      </c>
      <c r="C146">
        <v>10.92</v>
      </c>
      <c r="D146">
        <v>10.92</v>
      </c>
      <c r="E146">
        <v>10.68</v>
      </c>
      <c r="F146">
        <v>73.540000000000006</v>
      </c>
      <c r="G146" s="1">
        <v>-2.2599999999999999E-2</v>
      </c>
      <c r="H146">
        <f>Table1[[#This Row],[High]]-Table1[[#This Row],[Low]]</f>
        <v>0.24000000000000021</v>
      </c>
      <c r="I146">
        <f t="shared" si="4"/>
        <v>11.396666666666665</v>
      </c>
      <c r="J146">
        <f t="shared" si="5"/>
        <v>10.885490196078432</v>
      </c>
      <c r="K146" s="3">
        <f t="shared" si="6"/>
        <v>0.12124352331606225</v>
      </c>
    </row>
    <row r="147" spans="1:11" x14ac:dyDescent="0.25">
      <c r="A147" s="2">
        <v>45873</v>
      </c>
      <c r="B147">
        <v>10.95</v>
      </c>
      <c r="C147">
        <v>10.89</v>
      </c>
      <c r="D147">
        <v>11.02</v>
      </c>
      <c r="E147">
        <v>10.86</v>
      </c>
      <c r="F147">
        <v>56.7</v>
      </c>
      <c r="G147" s="1">
        <v>1.2E-2</v>
      </c>
      <c r="H147">
        <f>Table1[[#This Row],[High]]-Table1[[#This Row],[Low]]</f>
        <v>0.16000000000000014</v>
      </c>
      <c r="I147">
        <f t="shared" si="4"/>
        <v>11.355714285714285</v>
      </c>
      <c r="J147">
        <f t="shared" si="5"/>
        <v>10.890000000000002</v>
      </c>
      <c r="K147" s="3">
        <f t="shared" si="6"/>
        <v>0.13471502590673556</v>
      </c>
    </row>
    <row r="148" spans="1:11" x14ac:dyDescent="0.25">
      <c r="A148" s="2">
        <v>45874</v>
      </c>
      <c r="B148">
        <v>11.06</v>
      </c>
      <c r="C148">
        <v>10.98</v>
      </c>
      <c r="D148">
        <v>11.1</v>
      </c>
      <c r="E148">
        <v>10.9</v>
      </c>
      <c r="F148">
        <v>58.86</v>
      </c>
      <c r="G148" s="1">
        <v>0.01</v>
      </c>
      <c r="H148">
        <f>Table1[[#This Row],[High]]-Table1[[#This Row],[Low]]</f>
        <v>0.19999999999999929</v>
      </c>
      <c r="I148">
        <f t="shared" si="4"/>
        <v>11.33047619047619</v>
      </c>
      <c r="J148">
        <f t="shared" si="5"/>
        <v>10.901372549019609</v>
      </c>
      <c r="K148" s="3">
        <f t="shared" si="6"/>
        <v>0.14611398963730582</v>
      </c>
    </row>
    <row r="149" spans="1:11" x14ac:dyDescent="0.25">
      <c r="A149" s="2">
        <v>45875</v>
      </c>
      <c r="B149">
        <v>11.21</v>
      </c>
      <c r="C149">
        <v>11.11</v>
      </c>
      <c r="D149">
        <v>11.26</v>
      </c>
      <c r="E149">
        <v>11.08</v>
      </c>
      <c r="F149">
        <v>59.52</v>
      </c>
      <c r="G149" s="1">
        <v>1.3599999999999999E-2</v>
      </c>
      <c r="H149">
        <f>Table1[[#This Row],[High]]-Table1[[#This Row],[Low]]</f>
        <v>0.17999999999999972</v>
      </c>
      <c r="I149">
        <f t="shared" si="4"/>
        <v>11.308095238095238</v>
      </c>
      <c r="J149">
        <f t="shared" si="5"/>
        <v>10.916470588235294</v>
      </c>
      <c r="K149" s="3">
        <f t="shared" si="6"/>
        <v>0.16165803108808285</v>
      </c>
    </row>
    <row r="150" spans="1:11" x14ac:dyDescent="0.25">
      <c r="A150" s="2">
        <v>45876</v>
      </c>
      <c r="B150">
        <v>11.28</v>
      </c>
      <c r="C150">
        <v>11.3</v>
      </c>
      <c r="D150">
        <v>11.39</v>
      </c>
      <c r="E150">
        <v>11.1</v>
      </c>
      <c r="F150">
        <v>71.77</v>
      </c>
      <c r="G150" s="1">
        <v>6.1999999999999998E-3</v>
      </c>
      <c r="H150">
        <f>Table1[[#This Row],[High]]-Table1[[#This Row],[Low]]</f>
        <v>0.29000000000000092</v>
      </c>
      <c r="I150">
        <f t="shared" si="4"/>
        <v>11.281904761904762</v>
      </c>
      <c r="J150">
        <f t="shared" si="5"/>
        <v>10.934509803921568</v>
      </c>
      <c r="K150" s="3">
        <f t="shared" si="6"/>
        <v>0.16891191709844544</v>
      </c>
    </row>
    <row r="151" spans="1:11" x14ac:dyDescent="0.25">
      <c r="A151" s="2">
        <v>45877</v>
      </c>
      <c r="B151">
        <v>11.32</v>
      </c>
      <c r="C151">
        <v>11.31</v>
      </c>
      <c r="D151">
        <v>11.37</v>
      </c>
      <c r="E151">
        <v>11.21</v>
      </c>
      <c r="F151">
        <v>48.47</v>
      </c>
      <c r="G151" s="1">
        <v>3.5000000000000001E-3</v>
      </c>
      <c r="H151">
        <f>Table1[[#This Row],[High]]-Table1[[#This Row],[Low]]</f>
        <v>0.15999999999999837</v>
      </c>
      <c r="I151">
        <f t="shared" ref="I151:I214" si="7">AVERAGE(B131:B151)</f>
        <v>11.253809523809522</v>
      </c>
      <c r="J151">
        <f t="shared" si="5"/>
        <v>10.954313725490195</v>
      </c>
      <c r="K151" s="3">
        <f t="shared" si="6"/>
        <v>0.17305699481865289</v>
      </c>
    </row>
    <row r="152" spans="1:11" x14ac:dyDescent="0.25">
      <c r="A152" s="2">
        <v>45880</v>
      </c>
      <c r="B152">
        <v>11.14</v>
      </c>
      <c r="C152">
        <v>11.3</v>
      </c>
      <c r="D152">
        <v>11.57</v>
      </c>
      <c r="E152">
        <v>11.06</v>
      </c>
      <c r="F152">
        <v>84.33</v>
      </c>
      <c r="G152" s="1">
        <v>-1.5900000000000001E-2</v>
      </c>
      <c r="H152">
        <f>Table1[[#This Row],[High]]-Table1[[#This Row],[Low]]</f>
        <v>0.50999999999999979</v>
      </c>
      <c r="I152">
        <f t="shared" si="7"/>
        <v>11.223333333333333</v>
      </c>
      <c r="J152">
        <f t="shared" si="5"/>
        <v>10.973333333333331</v>
      </c>
      <c r="K152" s="3">
        <f t="shared" si="6"/>
        <v>0.15440414507772027</v>
      </c>
    </row>
    <row r="153" spans="1:11" x14ac:dyDescent="0.25">
      <c r="A153" s="2">
        <v>45881</v>
      </c>
      <c r="B153">
        <v>11.25</v>
      </c>
      <c r="C153">
        <v>11.2</v>
      </c>
      <c r="D153">
        <v>11.32</v>
      </c>
      <c r="E153">
        <v>11.13</v>
      </c>
      <c r="F153">
        <v>64.02</v>
      </c>
      <c r="G153" s="1">
        <v>9.9000000000000008E-3</v>
      </c>
      <c r="H153">
        <f>Table1[[#This Row],[High]]-Table1[[#This Row],[Low]]</f>
        <v>0.1899999999999995</v>
      </c>
      <c r="I153">
        <f t="shared" si="7"/>
        <v>11.193333333333333</v>
      </c>
      <c r="J153">
        <f t="shared" si="5"/>
        <v>10.993529411764705</v>
      </c>
      <c r="K153" s="3">
        <f t="shared" si="6"/>
        <v>0.16580310880829008</v>
      </c>
    </row>
    <row r="154" spans="1:11" x14ac:dyDescent="0.25">
      <c r="A154" s="2">
        <v>45882</v>
      </c>
      <c r="B154">
        <v>11.44</v>
      </c>
      <c r="C154">
        <v>11.27</v>
      </c>
      <c r="D154">
        <v>11.49</v>
      </c>
      <c r="E154">
        <v>11.19</v>
      </c>
      <c r="F154">
        <v>63.82</v>
      </c>
      <c r="G154" s="1">
        <v>1.6899999999999998E-2</v>
      </c>
      <c r="H154">
        <f>Table1[[#This Row],[High]]-Table1[[#This Row],[Low]]</f>
        <v>0.30000000000000071</v>
      </c>
      <c r="I154">
        <f t="shared" si="7"/>
        <v>11.187142857142858</v>
      </c>
      <c r="J154">
        <f t="shared" si="5"/>
        <v>11.014313725490197</v>
      </c>
      <c r="K154" s="3">
        <f t="shared" si="6"/>
        <v>0.18549222797927456</v>
      </c>
    </row>
    <row r="155" spans="1:11" x14ac:dyDescent="0.25">
      <c r="A155" s="2">
        <v>45883</v>
      </c>
      <c r="B155">
        <v>11.44</v>
      </c>
      <c r="C155">
        <v>11.3</v>
      </c>
      <c r="D155">
        <v>11.45</v>
      </c>
      <c r="E155">
        <v>11.22</v>
      </c>
      <c r="F155">
        <v>52.47</v>
      </c>
      <c r="G155" s="1">
        <v>0</v>
      </c>
      <c r="H155">
        <f>Table1[[#This Row],[High]]-Table1[[#This Row],[Low]]</f>
        <v>0.22999999999999865</v>
      </c>
      <c r="I155">
        <f t="shared" si="7"/>
        <v>11.196666666666667</v>
      </c>
      <c r="J155">
        <f t="shared" si="5"/>
        <v>11.042941176470586</v>
      </c>
      <c r="K155" s="3">
        <f t="shared" si="6"/>
        <v>0.18549222797927456</v>
      </c>
    </row>
    <row r="156" spans="1:11" x14ac:dyDescent="0.25">
      <c r="A156" s="2">
        <v>45884</v>
      </c>
      <c r="B156">
        <v>11.44</v>
      </c>
      <c r="C156">
        <v>11.43</v>
      </c>
      <c r="D156">
        <v>11.52</v>
      </c>
      <c r="E156">
        <v>11.41</v>
      </c>
      <c r="F156">
        <v>46.14</v>
      </c>
      <c r="G156" s="1">
        <v>0</v>
      </c>
      <c r="H156">
        <f>Table1[[#This Row],[High]]-Table1[[#This Row],[Low]]</f>
        <v>0.10999999999999943</v>
      </c>
      <c r="I156">
        <f t="shared" si="7"/>
        <v>11.210476190476189</v>
      </c>
      <c r="J156">
        <f t="shared" si="5"/>
        <v>11.067450980392158</v>
      </c>
      <c r="K156" s="3">
        <f t="shared" si="6"/>
        <v>0.18549222797927456</v>
      </c>
    </row>
    <row r="157" spans="1:11" x14ac:dyDescent="0.25">
      <c r="A157" s="2">
        <v>45887</v>
      </c>
      <c r="B157">
        <v>11.46</v>
      </c>
      <c r="C157">
        <v>11.4</v>
      </c>
      <c r="D157">
        <v>11.48</v>
      </c>
      <c r="E157">
        <v>11.37</v>
      </c>
      <c r="F157">
        <v>37.11</v>
      </c>
      <c r="G157" s="1">
        <v>1.6999999999999999E-3</v>
      </c>
      <c r="H157">
        <f>Table1[[#This Row],[High]]-Table1[[#This Row],[Low]]</f>
        <v>0.11000000000000121</v>
      </c>
      <c r="I157">
        <f t="shared" si="7"/>
        <v>11.224761904761905</v>
      </c>
      <c r="J157">
        <f t="shared" si="5"/>
        <v>11.09137254901961</v>
      </c>
      <c r="K157" s="3">
        <f t="shared" si="6"/>
        <v>0.18756476683937828</v>
      </c>
    </row>
    <row r="158" spans="1:11" x14ac:dyDescent="0.25">
      <c r="A158" s="2">
        <v>45888</v>
      </c>
      <c r="B158">
        <v>11.58</v>
      </c>
      <c r="C158">
        <v>11.52</v>
      </c>
      <c r="D158">
        <v>11.73</v>
      </c>
      <c r="E158">
        <v>11.49</v>
      </c>
      <c r="F158">
        <v>58.02</v>
      </c>
      <c r="G158" s="1">
        <v>1.0500000000000001E-2</v>
      </c>
      <c r="H158">
        <f>Table1[[#This Row],[High]]-Table1[[#This Row],[Low]]</f>
        <v>0.24000000000000021</v>
      </c>
      <c r="I158">
        <f t="shared" si="7"/>
        <v>11.237619047619049</v>
      </c>
      <c r="J158">
        <f t="shared" si="5"/>
        <v>11.120392156862748</v>
      </c>
      <c r="K158" s="3">
        <f t="shared" si="6"/>
        <v>0.19999999999999996</v>
      </c>
    </row>
    <row r="159" spans="1:11" x14ac:dyDescent="0.25">
      <c r="A159" s="2">
        <v>45889</v>
      </c>
      <c r="B159">
        <v>11.49</v>
      </c>
      <c r="C159">
        <v>11.52</v>
      </c>
      <c r="D159">
        <v>11.6</v>
      </c>
      <c r="E159">
        <v>11.47</v>
      </c>
      <c r="F159">
        <v>46.47</v>
      </c>
      <c r="G159" s="1">
        <v>-7.7999999999999996E-3</v>
      </c>
      <c r="H159">
        <f>Table1[[#This Row],[High]]-Table1[[#This Row],[Low]]</f>
        <v>0.12999999999999901</v>
      </c>
      <c r="I159">
        <f t="shared" si="7"/>
        <v>11.251904761904763</v>
      </c>
      <c r="J159">
        <f t="shared" si="5"/>
        <v>11.14450980392157</v>
      </c>
      <c r="K159" s="3">
        <f t="shared" si="6"/>
        <v>0.19067357512953365</v>
      </c>
    </row>
    <row r="160" spans="1:11" x14ac:dyDescent="0.25">
      <c r="A160" s="2">
        <v>45890</v>
      </c>
      <c r="B160">
        <v>11.33</v>
      </c>
      <c r="C160">
        <v>11.42</v>
      </c>
      <c r="D160">
        <v>11.43</v>
      </c>
      <c r="E160">
        <v>11.19</v>
      </c>
      <c r="F160">
        <v>51.78</v>
      </c>
      <c r="G160" s="1">
        <v>-1.3899999999999999E-2</v>
      </c>
      <c r="H160">
        <f>Table1[[#This Row],[High]]-Table1[[#This Row],[Low]]</f>
        <v>0.24000000000000021</v>
      </c>
      <c r="I160">
        <f t="shared" si="7"/>
        <v>11.249523809523811</v>
      </c>
      <c r="J160">
        <f t="shared" si="5"/>
        <v>11.163921568627453</v>
      </c>
      <c r="K160" s="3">
        <f t="shared" si="6"/>
        <v>0.17409326424870453</v>
      </c>
    </row>
    <row r="161" spans="1:11" x14ac:dyDescent="0.25">
      <c r="A161" s="2">
        <v>45891</v>
      </c>
      <c r="B161">
        <v>11.74</v>
      </c>
      <c r="C161">
        <v>11.39</v>
      </c>
      <c r="D161">
        <v>11.77</v>
      </c>
      <c r="E161">
        <v>11.39</v>
      </c>
      <c r="F161">
        <v>58.54</v>
      </c>
      <c r="G161" s="1">
        <v>3.6200000000000003E-2</v>
      </c>
      <c r="H161">
        <f>Table1[[#This Row],[High]]-Table1[[#This Row],[Low]]</f>
        <v>0.37999999999999901</v>
      </c>
      <c r="I161">
        <f t="shared" si="7"/>
        <v>11.272380952380955</v>
      </c>
      <c r="J161">
        <f t="shared" si="5"/>
        <v>11.186274509803921</v>
      </c>
      <c r="K161" s="3">
        <f t="shared" si="6"/>
        <v>0.21658031088082907</v>
      </c>
    </row>
    <row r="162" spans="1:11" x14ac:dyDescent="0.25">
      <c r="A162" s="2">
        <v>45894</v>
      </c>
      <c r="B162">
        <v>11.82</v>
      </c>
      <c r="C162">
        <v>11.72</v>
      </c>
      <c r="D162">
        <v>11.85</v>
      </c>
      <c r="E162">
        <v>11.68</v>
      </c>
      <c r="F162">
        <v>45.04</v>
      </c>
      <c r="G162" s="1">
        <v>6.7999999999999996E-3</v>
      </c>
      <c r="H162">
        <f>Table1[[#This Row],[High]]-Table1[[#This Row],[Low]]</f>
        <v>0.16999999999999993</v>
      </c>
      <c r="I162">
        <f t="shared" si="7"/>
        <v>11.28904761904762</v>
      </c>
      <c r="J162">
        <f t="shared" si="5"/>
        <v>11.209019607843139</v>
      </c>
      <c r="K162" s="3">
        <f t="shared" si="6"/>
        <v>0.22487046632124352</v>
      </c>
    </row>
    <row r="163" spans="1:11" x14ac:dyDescent="0.25">
      <c r="A163" s="2">
        <v>45895</v>
      </c>
      <c r="B163">
        <v>11.84</v>
      </c>
      <c r="C163">
        <v>11.81</v>
      </c>
      <c r="D163">
        <v>11.87</v>
      </c>
      <c r="E163">
        <v>11.77</v>
      </c>
      <c r="F163">
        <v>48.61</v>
      </c>
      <c r="G163" s="1">
        <v>1.6999999999999999E-3</v>
      </c>
      <c r="H163">
        <f>Table1[[#This Row],[High]]-Table1[[#This Row],[Low]]</f>
        <v>9.9999999999999645E-2</v>
      </c>
      <c r="I163">
        <f t="shared" si="7"/>
        <v>11.315714285714288</v>
      </c>
      <c r="J163">
        <f t="shared" si="5"/>
        <v>11.234705882352941</v>
      </c>
      <c r="K163" s="3">
        <f t="shared" si="6"/>
        <v>0.22694300518134702</v>
      </c>
    </row>
    <row r="164" spans="1:11" x14ac:dyDescent="0.25">
      <c r="A164" s="2">
        <v>45896</v>
      </c>
      <c r="B164">
        <v>11.91</v>
      </c>
      <c r="C164">
        <v>11.82</v>
      </c>
      <c r="D164">
        <v>11.98</v>
      </c>
      <c r="E164">
        <v>11.81</v>
      </c>
      <c r="F164">
        <v>40.380000000000003</v>
      </c>
      <c r="G164" s="1">
        <v>5.8999999999999999E-3</v>
      </c>
      <c r="H164">
        <f>Table1[[#This Row],[High]]-Table1[[#This Row],[Low]]</f>
        <v>0.16999999999999993</v>
      </c>
      <c r="I164">
        <f t="shared" si="7"/>
        <v>11.355238095238096</v>
      </c>
      <c r="J164">
        <f t="shared" si="5"/>
        <v>11.263725490196077</v>
      </c>
      <c r="K164" s="3">
        <f t="shared" si="6"/>
        <v>0.23419689119170983</v>
      </c>
    </row>
    <row r="165" spans="1:11" x14ac:dyDescent="0.25">
      <c r="A165" s="2">
        <v>45897</v>
      </c>
      <c r="B165">
        <v>11.71</v>
      </c>
      <c r="C165">
        <v>11.98</v>
      </c>
      <c r="D165">
        <v>11.99</v>
      </c>
      <c r="E165">
        <v>11.63</v>
      </c>
      <c r="F165">
        <v>47.72</v>
      </c>
      <c r="G165" s="1">
        <v>-1.6799999999999999E-2</v>
      </c>
      <c r="H165">
        <f>Table1[[#This Row],[High]]-Table1[[#This Row],[Low]]</f>
        <v>0.35999999999999943</v>
      </c>
      <c r="I165">
        <f t="shared" si="7"/>
        <v>11.395238095238099</v>
      </c>
      <c r="J165">
        <f t="shared" si="5"/>
        <v>11.285098039215686</v>
      </c>
      <c r="K165" s="3">
        <f t="shared" si="6"/>
        <v>0.21347150259067371</v>
      </c>
    </row>
    <row r="166" spans="1:11" x14ac:dyDescent="0.25">
      <c r="A166" s="2">
        <v>45898</v>
      </c>
      <c r="B166">
        <v>11.77</v>
      </c>
      <c r="C166">
        <v>11.74</v>
      </c>
      <c r="D166">
        <v>11.83</v>
      </c>
      <c r="E166">
        <v>11.72</v>
      </c>
      <c r="F166">
        <v>44.07</v>
      </c>
      <c r="G166" s="1">
        <v>5.1000000000000004E-3</v>
      </c>
      <c r="H166">
        <f>Table1[[#This Row],[High]]-Table1[[#This Row],[Low]]</f>
        <v>0.10999999999999943</v>
      </c>
      <c r="I166">
        <f t="shared" si="7"/>
        <v>11.428571428571431</v>
      </c>
      <c r="J166">
        <f t="shared" si="5"/>
        <v>11.311568627450978</v>
      </c>
      <c r="K166" s="3">
        <f t="shared" si="6"/>
        <v>0.21968911917098444</v>
      </c>
    </row>
    <row r="167" spans="1:11" x14ac:dyDescent="0.25">
      <c r="A167" s="2">
        <v>45902</v>
      </c>
      <c r="B167">
        <v>11.72</v>
      </c>
      <c r="C167">
        <v>11.76</v>
      </c>
      <c r="D167">
        <v>11.89</v>
      </c>
      <c r="E167">
        <v>11.64</v>
      </c>
      <c r="F167">
        <v>57.7</v>
      </c>
      <c r="G167" s="1">
        <v>-4.1999999999999997E-3</v>
      </c>
      <c r="H167">
        <f>Table1[[#This Row],[High]]-Table1[[#This Row],[Low]]</f>
        <v>0.25</v>
      </c>
      <c r="I167">
        <f t="shared" si="7"/>
        <v>11.471428571428575</v>
      </c>
      <c r="J167">
        <f t="shared" si="5"/>
        <v>11.336862745098038</v>
      </c>
      <c r="K167" s="3">
        <f t="shared" si="6"/>
        <v>0.21450777202072535</v>
      </c>
    </row>
    <row r="168" spans="1:11" x14ac:dyDescent="0.25">
      <c r="A168" s="2">
        <v>45903</v>
      </c>
      <c r="B168">
        <v>11.62</v>
      </c>
      <c r="C168">
        <v>11.67</v>
      </c>
      <c r="D168">
        <v>11.73</v>
      </c>
      <c r="E168">
        <v>11.57</v>
      </c>
      <c r="F168">
        <v>47.73</v>
      </c>
      <c r="G168" s="1">
        <v>-8.5000000000000006E-3</v>
      </c>
      <c r="H168">
        <f>Table1[[#This Row],[High]]-Table1[[#This Row],[Low]]</f>
        <v>0.16000000000000014</v>
      </c>
      <c r="I168">
        <f t="shared" si="7"/>
        <v>11.503333333333334</v>
      </c>
      <c r="J168">
        <f t="shared" si="5"/>
        <v>11.35705882352941</v>
      </c>
      <c r="K168" s="3">
        <f t="shared" si="6"/>
        <v>0.20414507772020718</v>
      </c>
    </row>
    <row r="169" spans="1:11" x14ac:dyDescent="0.25">
      <c r="A169" s="2">
        <v>45904</v>
      </c>
      <c r="B169">
        <v>11.68</v>
      </c>
      <c r="C169">
        <v>11.65</v>
      </c>
      <c r="D169">
        <v>11.7</v>
      </c>
      <c r="E169">
        <v>11.57</v>
      </c>
      <c r="F169">
        <v>33.14</v>
      </c>
      <c r="G169" s="1">
        <v>5.1999999999999998E-3</v>
      </c>
      <c r="H169">
        <f>Table1[[#This Row],[High]]-Table1[[#This Row],[Low]]</f>
        <v>0.12999999999999901</v>
      </c>
      <c r="I169">
        <f t="shared" si="7"/>
        <v>11.532857142857145</v>
      </c>
      <c r="J169">
        <f t="shared" si="5"/>
        <v>11.375294117647053</v>
      </c>
      <c r="K169" s="3">
        <f t="shared" si="6"/>
        <v>0.21036269430051813</v>
      </c>
    </row>
    <row r="170" spans="1:11" x14ac:dyDescent="0.25">
      <c r="A170" s="2">
        <v>45905</v>
      </c>
      <c r="B170">
        <v>11.74</v>
      </c>
      <c r="C170">
        <v>11.71</v>
      </c>
      <c r="D170">
        <v>11.91</v>
      </c>
      <c r="E170">
        <v>11.66</v>
      </c>
      <c r="F170">
        <v>47.55</v>
      </c>
      <c r="G170" s="1">
        <v>5.1000000000000004E-3</v>
      </c>
      <c r="H170">
        <f>Table1[[#This Row],[High]]-Table1[[#This Row],[Low]]</f>
        <v>0.25</v>
      </c>
      <c r="I170">
        <f t="shared" si="7"/>
        <v>11.558095238095239</v>
      </c>
      <c r="J170">
        <f t="shared" si="5"/>
        <v>11.395098039215682</v>
      </c>
      <c r="K170" s="3">
        <f t="shared" si="6"/>
        <v>0.21658031088082907</v>
      </c>
    </row>
    <row r="171" spans="1:11" x14ac:dyDescent="0.25">
      <c r="A171" s="2">
        <v>45908</v>
      </c>
      <c r="B171">
        <v>11.69</v>
      </c>
      <c r="C171">
        <v>11.75</v>
      </c>
      <c r="D171">
        <v>11.75</v>
      </c>
      <c r="E171">
        <v>11.58</v>
      </c>
      <c r="F171">
        <v>39.729999999999997</v>
      </c>
      <c r="G171" s="1">
        <v>-4.3E-3</v>
      </c>
      <c r="H171">
        <f>Table1[[#This Row],[High]]-Table1[[#This Row],[Low]]</f>
        <v>0.16999999999999993</v>
      </c>
      <c r="I171">
        <f t="shared" si="7"/>
        <v>11.577619047619049</v>
      </c>
      <c r="J171">
        <f t="shared" si="5"/>
        <v>11.418823529411762</v>
      </c>
      <c r="K171" s="3">
        <f t="shared" si="6"/>
        <v>0.21139896373056977</v>
      </c>
    </row>
    <row r="172" spans="1:11" x14ac:dyDescent="0.25">
      <c r="A172" s="2">
        <v>45909</v>
      </c>
      <c r="B172">
        <v>11.49</v>
      </c>
      <c r="C172">
        <v>11.67</v>
      </c>
      <c r="D172">
        <v>11.68</v>
      </c>
      <c r="E172">
        <v>11.45</v>
      </c>
      <c r="F172">
        <v>41.26</v>
      </c>
      <c r="G172" s="1">
        <v>-1.7100000000000001E-2</v>
      </c>
      <c r="H172">
        <f>Table1[[#This Row],[High]]-Table1[[#This Row],[Low]]</f>
        <v>0.23000000000000043</v>
      </c>
      <c r="I172">
        <f t="shared" si="7"/>
        <v>11.585714285714285</v>
      </c>
      <c r="J172">
        <f t="shared" si="5"/>
        <v>11.435686274509802</v>
      </c>
      <c r="K172" s="3">
        <f t="shared" si="6"/>
        <v>0.19067357512953365</v>
      </c>
    </row>
    <row r="173" spans="1:11" x14ac:dyDescent="0.25">
      <c r="A173" s="2">
        <v>45910</v>
      </c>
      <c r="B173">
        <v>11.42</v>
      </c>
      <c r="C173">
        <v>11.49</v>
      </c>
      <c r="D173">
        <v>11.52</v>
      </c>
      <c r="E173">
        <v>11.31</v>
      </c>
      <c r="F173">
        <v>47.02</v>
      </c>
      <c r="G173" s="1">
        <v>-6.1000000000000004E-3</v>
      </c>
      <c r="H173">
        <f>Table1[[#This Row],[High]]-Table1[[#This Row],[Low]]</f>
        <v>0.20999999999999908</v>
      </c>
      <c r="I173">
        <f t="shared" si="7"/>
        <v>11.599047619047619</v>
      </c>
      <c r="J173">
        <f t="shared" si="5"/>
        <v>11.447843137254898</v>
      </c>
      <c r="K173" s="3">
        <f t="shared" si="6"/>
        <v>0.18341968911917084</v>
      </c>
    </row>
    <row r="174" spans="1:11" x14ac:dyDescent="0.25">
      <c r="A174" s="2">
        <v>45911</v>
      </c>
      <c r="B174">
        <v>11.76</v>
      </c>
      <c r="C174">
        <v>11.46</v>
      </c>
      <c r="D174">
        <v>11.79</v>
      </c>
      <c r="E174">
        <v>11.43</v>
      </c>
      <c r="F174">
        <v>64.2</v>
      </c>
      <c r="G174" s="1">
        <v>2.98E-2</v>
      </c>
      <c r="H174">
        <f>Table1[[#This Row],[High]]-Table1[[#This Row],[Low]]</f>
        <v>0.35999999999999943</v>
      </c>
      <c r="I174">
        <f t="shared" si="7"/>
        <v>11.623333333333333</v>
      </c>
      <c r="J174">
        <f t="shared" si="5"/>
        <v>11.4656862745098</v>
      </c>
      <c r="K174" s="3">
        <f t="shared" si="6"/>
        <v>0.21865284974093258</v>
      </c>
    </row>
    <row r="175" spans="1:11" x14ac:dyDescent="0.25">
      <c r="A175" s="2">
        <v>45912</v>
      </c>
      <c r="B175">
        <v>11.68</v>
      </c>
      <c r="C175">
        <v>11.75</v>
      </c>
      <c r="D175">
        <v>11.81</v>
      </c>
      <c r="E175">
        <v>11.66</v>
      </c>
      <c r="F175">
        <v>50.1</v>
      </c>
      <c r="G175" s="1">
        <v>-6.7999999999999996E-3</v>
      </c>
      <c r="H175">
        <f>Table1[[#This Row],[High]]-Table1[[#This Row],[Low]]</f>
        <v>0.15000000000000036</v>
      </c>
      <c r="I175">
        <f t="shared" si="7"/>
        <v>11.634761904761907</v>
      </c>
      <c r="J175">
        <f t="shared" si="5"/>
        <v>11.472156862745095</v>
      </c>
      <c r="K175" s="3">
        <f t="shared" si="6"/>
        <v>0.21036269430051813</v>
      </c>
    </row>
    <row r="176" spans="1:11" x14ac:dyDescent="0.25">
      <c r="A176" s="2">
        <v>45915</v>
      </c>
      <c r="B176">
        <v>11.68</v>
      </c>
      <c r="C176">
        <v>11.74</v>
      </c>
      <c r="D176">
        <v>11.76</v>
      </c>
      <c r="E176">
        <v>11.61</v>
      </c>
      <c r="F176">
        <v>47.94</v>
      </c>
      <c r="G176" s="1">
        <v>0</v>
      </c>
      <c r="H176">
        <f>Table1[[#This Row],[High]]-Table1[[#This Row],[Low]]</f>
        <v>0.15000000000000036</v>
      </c>
      <c r="I176">
        <f t="shared" si="7"/>
        <v>11.646190476190478</v>
      </c>
      <c r="J176">
        <f t="shared" si="5"/>
        <v>11.470392156862738</v>
      </c>
      <c r="K176" s="3">
        <f t="shared" si="6"/>
        <v>0.21036269430051813</v>
      </c>
    </row>
    <row r="177" spans="1:11" x14ac:dyDescent="0.25">
      <c r="A177" s="2">
        <v>45916</v>
      </c>
      <c r="B177">
        <v>11.61</v>
      </c>
      <c r="C177">
        <v>11.69</v>
      </c>
      <c r="D177">
        <v>11.78</v>
      </c>
      <c r="E177">
        <v>11.51</v>
      </c>
      <c r="F177">
        <v>58.06</v>
      </c>
      <c r="G177" s="1">
        <v>-6.0000000000000001E-3</v>
      </c>
      <c r="H177">
        <f>Table1[[#This Row],[High]]-Table1[[#This Row],[Low]]</f>
        <v>0.26999999999999957</v>
      </c>
      <c r="I177">
        <f t="shared" si="7"/>
        <v>11.654285714285715</v>
      </c>
      <c r="J177">
        <f t="shared" si="5"/>
        <v>11.466470588235291</v>
      </c>
      <c r="K177" s="3">
        <f t="shared" si="6"/>
        <v>0.20310880829015532</v>
      </c>
    </row>
    <row r="178" spans="1:11" x14ac:dyDescent="0.25">
      <c r="A178" s="2">
        <v>45917</v>
      </c>
      <c r="B178">
        <v>11.66</v>
      </c>
      <c r="C178">
        <v>11.63</v>
      </c>
      <c r="D178">
        <v>11.88</v>
      </c>
      <c r="E178">
        <v>11.55</v>
      </c>
      <c r="F178">
        <v>68.59</v>
      </c>
      <c r="G178" s="1">
        <v>4.3E-3</v>
      </c>
      <c r="H178">
        <f>Table1[[#This Row],[High]]-Table1[[#This Row],[Low]]</f>
        <v>0.33000000000000007</v>
      </c>
      <c r="I178">
        <f t="shared" si="7"/>
        <v>11.663809523809523</v>
      </c>
      <c r="J178">
        <f t="shared" si="5"/>
        <v>11.467843137254897</v>
      </c>
      <c r="K178" s="3">
        <f t="shared" si="6"/>
        <v>0.2082901554404144</v>
      </c>
    </row>
    <row r="179" spans="1:11" x14ac:dyDescent="0.25">
      <c r="A179" s="2">
        <v>45918</v>
      </c>
      <c r="B179">
        <v>11.74</v>
      </c>
      <c r="C179">
        <v>11.69</v>
      </c>
      <c r="D179">
        <v>11.78</v>
      </c>
      <c r="E179">
        <v>11.62</v>
      </c>
      <c r="F179">
        <v>55.04</v>
      </c>
      <c r="G179" s="1">
        <v>6.8999999999999999E-3</v>
      </c>
      <c r="H179">
        <f>Table1[[#This Row],[High]]-Table1[[#This Row],[Low]]</f>
        <v>0.16000000000000014</v>
      </c>
      <c r="I179">
        <f t="shared" si="7"/>
        <v>11.671428571428571</v>
      </c>
      <c r="J179">
        <f t="shared" si="5"/>
        <v>11.469019607843133</v>
      </c>
      <c r="K179" s="3">
        <f t="shared" si="6"/>
        <v>0.21658031088082907</v>
      </c>
    </row>
    <row r="180" spans="1:11" x14ac:dyDescent="0.25">
      <c r="A180" s="2">
        <v>45919</v>
      </c>
      <c r="B180">
        <v>11.62</v>
      </c>
      <c r="C180">
        <v>11.77</v>
      </c>
      <c r="D180">
        <v>11.8</v>
      </c>
      <c r="E180">
        <v>11.59</v>
      </c>
      <c r="F180">
        <v>71.680000000000007</v>
      </c>
      <c r="G180" s="1">
        <v>-1.0200000000000001E-2</v>
      </c>
      <c r="H180">
        <f>Table1[[#This Row],[High]]-Table1[[#This Row],[Low]]</f>
        <v>0.21000000000000085</v>
      </c>
      <c r="I180">
        <f t="shared" si="7"/>
        <v>11.677619047619046</v>
      </c>
      <c r="J180">
        <f t="shared" si="5"/>
        <v>11.464901960784312</v>
      </c>
      <c r="K180" s="3">
        <f t="shared" si="6"/>
        <v>0.20414507772020718</v>
      </c>
    </row>
    <row r="181" spans="1:11" x14ac:dyDescent="0.25">
      <c r="A181" s="2">
        <v>45922</v>
      </c>
      <c r="B181">
        <v>11.66</v>
      </c>
      <c r="C181">
        <v>11.6</v>
      </c>
      <c r="D181">
        <v>11.7</v>
      </c>
      <c r="E181">
        <v>11.56</v>
      </c>
      <c r="F181">
        <v>58.43</v>
      </c>
      <c r="G181" s="1">
        <v>3.3999999999999998E-3</v>
      </c>
      <c r="H181">
        <f>Table1[[#This Row],[High]]-Table1[[#This Row],[Low]]</f>
        <v>0.13999999999999879</v>
      </c>
      <c r="I181">
        <f t="shared" si="7"/>
        <v>11.693333333333333</v>
      </c>
      <c r="J181">
        <f t="shared" ref="J181:J217" si="8">AVERAGE(B131:B181)</f>
        <v>11.459999999999996</v>
      </c>
      <c r="K181" s="3">
        <f t="shared" si="6"/>
        <v>0.2082901554404144</v>
      </c>
    </row>
    <row r="182" spans="1:11" x14ac:dyDescent="0.25">
      <c r="A182" s="2">
        <v>45923</v>
      </c>
      <c r="B182">
        <v>11.73</v>
      </c>
      <c r="C182">
        <v>11.7</v>
      </c>
      <c r="D182">
        <v>11.93</v>
      </c>
      <c r="E182">
        <v>11.69</v>
      </c>
      <c r="F182">
        <v>55.67</v>
      </c>
      <c r="G182" s="1">
        <v>6.0000000000000001E-3</v>
      </c>
      <c r="H182">
        <f>Table1[[#This Row],[High]]-Table1[[#This Row],[Low]]</f>
        <v>0.24000000000000021</v>
      </c>
      <c r="I182">
        <f t="shared" si="7"/>
        <v>11.692857142857141</v>
      </c>
      <c r="J182">
        <f t="shared" si="8"/>
        <v>11.459019607843137</v>
      </c>
      <c r="K182" s="3">
        <f t="shared" si="6"/>
        <v>0.21554404145077721</v>
      </c>
    </row>
    <row r="183" spans="1:11" x14ac:dyDescent="0.25">
      <c r="A183" s="2">
        <v>45924</v>
      </c>
      <c r="B183">
        <v>11.63</v>
      </c>
      <c r="C183">
        <v>11.73</v>
      </c>
      <c r="D183">
        <v>11.83</v>
      </c>
      <c r="E183">
        <v>11.59</v>
      </c>
      <c r="F183">
        <v>60.19</v>
      </c>
      <c r="G183" s="1">
        <v>-8.5000000000000006E-3</v>
      </c>
      <c r="H183">
        <f>Table1[[#This Row],[High]]-Table1[[#This Row],[Low]]</f>
        <v>0.24000000000000021</v>
      </c>
      <c r="I183">
        <f t="shared" si="7"/>
        <v>11.683809523809524</v>
      </c>
      <c r="J183">
        <f t="shared" si="8"/>
        <v>11.454117647058823</v>
      </c>
      <c r="K183" s="3">
        <f t="shared" si="6"/>
        <v>0.20518134715025904</v>
      </c>
    </row>
    <row r="184" spans="1:11" x14ac:dyDescent="0.25">
      <c r="A184" s="2">
        <v>45925</v>
      </c>
      <c r="B184">
        <v>11.62</v>
      </c>
      <c r="C184">
        <v>11.54</v>
      </c>
      <c r="D184">
        <v>11.65</v>
      </c>
      <c r="E184">
        <v>11.37</v>
      </c>
      <c r="F184">
        <v>67.66</v>
      </c>
      <c r="G184" s="1">
        <v>-8.9999999999999998E-4</v>
      </c>
      <c r="H184">
        <f>Table1[[#This Row],[High]]-Table1[[#This Row],[Low]]</f>
        <v>0.28000000000000114</v>
      </c>
      <c r="I184">
        <f t="shared" si="7"/>
        <v>11.673333333333334</v>
      </c>
      <c r="J184">
        <f t="shared" si="8"/>
        <v>11.455098039215686</v>
      </c>
      <c r="K184" s="3">
        <f t="shared" si="6"/>
        <v>0.20414507772020718</v>
      </c>
    </row>
    <row r="185" spans="1:11" x14ac:dyDescent="0.25">
      <c r="A185" s="2">
        <v>45926</v>
      </c>
      <c r="B185">
        <v>12.01</v>
      </c>
      <c r="C185">
        <v>11.65</v>
      </c>
      <c r="D185">
        <v>12.31</v>
      </c>
      <c r="E185">
        <v>11.65</v>
      </c>
      <c r="F185">
        <v>117.68</v>
      </c>
      <c r="G185" s="1">
        <v>3.3599999999999998E-2</v>
      </c>
      <c r="H185">
        <f>Table1[[#This Row],[High]]-Table1[[#This Row],[Low]]</f>
        <v>0.66000000000000014</v>
      </c>
      <c r="I185">
        <f t="shared" si="7"/>
        <v>11.678095238095237</v>
      </c>
      <c r="J185">
        <f t="shared" si="8"/>
        <v>11.470196078431373</v>
      </c>
      <c r="K185" s="3">
        <f t="shared" si="6"/>
        <v>0.244559585492228</v>
      </c>
    </row>
    <row r="186" spans="1:11" x14ac:dyDescent="0.25">
      <c r="A186" s="2">
        <v>45929</v>
      </c>
      <c r="B186">
        <v>12.09</v>
      </c>
      <c r="C186">
        <v>12.1</v>
      </c>
      <c r="D186">
        <v>12.12</v>
      </c>
      <c r="E186">
        <v>11.89</v>
      </c>
      <c r="F186">
        <v>83.33</v>
      </c>
      <c r="G186" s="1">
        <v>6.7000000000000002E-3</v>
      </c>
      <c r="H186">
        <f>Table1[[#This Row],[High]]-Table1[[#This Row],[Low]]</f>
        <v>0.22999999999999865</v>
      </c>
      <c r="I186">
        <f t="shared" si="7"/>
        <v>11.696190476190477</v>
      </c>
      <c r="J186">
        <f t="shared" si="8"/>
        <v>11.488627450980394</v>
      </c>
      <c r="K186" s="3">
        <f t="shared" si="6"/>
        <v>0.25284974093264245</v>
      </c>
    </row>
    <row r="187" spans="1:11" x14ac:dyDescent="0.25">
      <c r="A187" s="2">
        <v>45930</v>
      </c>
      <c r="B187">
        <v>11.96</v>
      </c>
      <c r="C187">
        <v>12.11</v>
      </c>
      <c r="D187">
        <v>12.2</v>
      </c>
      <c r="E187">
        <v>11.91</v>
      </c>
      <c r="F187">
        <v>70.77</v>
      </c>
      <c r="G187" s="1">
        <v>-1.0800000000000001E-2</v>
      </c>
      <c r="H187">
        <f>Table1[[#This Row],[High]]-Table1[[#This Row],[Low]]</f>
        <v>0.28999999999999915</v>
      </c>
      <c r="I187">
        <f t="shared" si="7"/>
        <v>11.705238095238096</v>
      </c>
      <c r="J187">
        <f t="shared" si="8"/>
        <v>11.504313725490199</v>
      </c>
      <c r="K187" s="3">
        <f t="shared" si="6"/>
        <v>0.23937823834196892</v>
      </c>
    </row>
    <row r="188" spans="1:11" x14ac:dyDescent="0.25">
      <c r="A188" s="2">
        <v>45931</v>
      </c>
      <c r="B188">
        <v>12.27</v>
      </c>
      <c r="C188">
        <v>12.12</v>
      </c>
      <c r="D188">
        <v>12.28</v>
      </c>
      <c r="E188">
        <v>12.04</v>
      </c>
      <c r="F188">
        <v>73.58</v>
      </c>
      <c r="G188" s="1">
        <v>2.5899999999999999E-2</v>
      </c>
      <c r="H188">
        <f>Table1[[#This Row],[High]]-Table1[[#This Row],[Low]]</f>
        <v>0.24000000000000021</v>
      </c>
      <c r="I188">
        <f t="shared" si="7"/>
        <v>11.731428571428573</v>
      </c>
      <c r="J188">
        <f t="shared" si="8"/>
        <v>11.523137254901965</v>
      </c>
      <c r="K188" s="3">
        <f t="shared" si="6"/>
        <v>0.27150259067357507</v>
      </c>
    </row>
    <row r="189" spans="1:11" x14ac:dyDescent="0.25">
      <c r="A189" s="2">
        <v>45932</v>
      </c>
      <c r="B189">
        <v>12.22</v>
      </c>
      <c r="C189">
        <v>12.28</v>
      </c>
      <c r="D189">
        <v>12.43</v>
      </c>
      <c r="E189">
        <v>12.12</v>
      </c>
      <c r="F189">
        <v>74.53</v>
      </c>
      <c r="G189" s="1">
        <v>-4.1000000000000003E-3</v>
      </c>
      <c r="H189">
        <f>Table1[[#This Row],[High]]-Table1[[#This Row],[Low]]</f>
        <v>0.3100000000000005</v>
      </c>
      <c r="I189">
        <f t="shared" si="7"/>
        <v>11.76</v>
      </c>
      <c r="J189">
        <f t="shared" si="8"/>
        <v>11.543333333333338</v>
      </c>
      <c r="K189" s="3">
        <f t="shared" si="6"/>
        <v>0.26632124352331599</v>
      </c>
    </row>
    <row r="190" spans="1:11" x14ac:dyDescent="0.25">
      <c r="A190" s="2">
        <v>45933</v>
      </c>
      <c r="B190">
        <v>12.67</v>
      </c>
      <c r="C190">
        <v>12.24</v>
      </c>
      <c r="D190">
        <v>12.67</v>
      </c>
      <c r="E190">
        <v>12.2</v>
      </c>
      <c r="F190">
        <v>100.78</v>
      </c>
      <c r="G190" s="1">
        <v>3.6799999999999999E-2</v>
      </c>
      <c r="H190">
        <f>Table1[[#This Row],[High]]-Table1[[#This Row],[Low]]</f>
        <v>0.47000000000000064</v>
      </c>
      <c r="I190">
        <f t="shared" si="7"/>
        <v>11.807142857142857</v>
      </c>
      <c r="J190">
        <f t="shared" si="8"/>
        <v>11.568627450980397</v>
      </c>
      <c r="K190" s="3">
        <f t="shared" si="6"/>
        <v>0.31295336787564754</v>
      </c>
    </row>
    <row r="191" spans="1:11" x14ac:dyDescent="0.25">
      <c r="A191" s="2">
        <v>45936</v>
      </c>
      <c r="B191">
        <v>12.7</v>
      </c>
      <c r="C191">
        <v>12.63</v>
      </c>
      <c r="D191">
        <v>12.8</v>
      </c>
      <c r="E191">
        <v>12.48</v>
      </c>
      <c r="F191">
        <v>90.54</v>
      </c>
      <c r="G191" s="1">
        <v>2.3999999999999998E-3</v>
      </c>
      <c r="H191">
        <f>Table1[[#This Row],[High]]-Table1[[#This Row],[Low]]</f>
        <v>0.32000000000000028</v>
      </c>
      <c r="I191">
        <f t="shared" si="7"/>
        <v>11.852857142857141</v>
      </c>
      <c r="J191">
        <f t="shared" si="8"/>
        <v>11.596862745098045</v>
      </c>
      <c r="K191" s="3">
        <f t="shared" si="6"/>
        <v>0.3160621761658029</v>
      </c>
    </row>
    <row r="192" spans="1:11" x14ac:dyDescent="0.25">
      <c r="A192" s="2">
        <v>45937</v>
      </c>
      <c r="B192">
        <v>11.92</v>
      </c>
      <c r="C192">
        <v>12.5</v>
      </c>
      <c r="D192">
        <v>12.53</v>
      </c>
      <c r="E192">
        <v>11.74</v>
      </c>
      <c r="F192">
        <v>154.38999999999999</v>
      </c>
      <c r="G192" s="1">
        <v>-6.1400000000000003E-2</v>
      </c>
      <c r="H192">
        <f>Table1[[#This Row],[High]]-Table1[[#This Row],[Low]]</f>
        <v>0.78999999999999915</v>
      </c>
      <c r="I192">
        <f t="shared" si="7"/>
        <v>11.863809523809522</v>
      </c>
      <c r="J192">
        <f t="shared" si="8"/>
        <v>11.605686274509807</v>
      </c>
      <c r="K192" s="3">
        <f t="shared" si="6"/>
        <v>0.23523316062176169</v>
      </c>
    </row>
    <row r="193" spans="1:11" x14ac:dyDescent="0.25">
      <c r="A193" s="2">
        <v>45938</v>
      </c>
      <c r="B193">
        <v>11.74</v>
      </c>
      <c r="C193">
        <v>11.98</v>
      </c>
      <c r="D193">
        <v>12.01</v>
      </c>
      <c r="E193">
        <v>11.68</v>
      </c>
      <c r="F193">
        <v>78.47</v>
      </c>
      <c r="G193" s="1">
        <v>-1.5100000000000001E-2</v>
      </c>
      <c r="H193">
        <f>Table1[[#This Row],[High]]-Table1[[#This Row],[Low]]</f>
        <v>0.33000000000000007</v>
      </c>
      <c r="I193">
        <f t="shared" si="7"/>
        <v>11.875714285714285</v>
      </c>
      <c r="J193">
        <f t="shared" si="8"/>
        <v>11.614705882352943</v>
      </c>
      <c r="K193" s="3">
        <f t="shared" si="6"/>
        <v>0.21658031088082907</v>
      </c>
    </row>
    <row r="194" spans="1:11" x14ac:dyDescent="0.25">
      <c r="A194" s="2">
        <v>45939</v>
      </c>
      <c r="B194">
        <v>11.5</v>
      </c>
      <c r="C194">
        <v>11.74</v>
      </c>
      <c r="D194">
        <v>11.77</v>
      </c>
      <c r="E194">
        <v>11.48</v>
      </c>
      <c r="F194">
        <v>70.319999999999993</v>
      </c>
      <c r="G194" s="1">
        <v>-2.0400000000000001E-2</v>
      </c>
      <c r="H194">
        <f>Table1[[#This Row],[High]]-Table1[[#This Row],[Low]]</f>
        <v>0.28999999999999915</v>
      </c>
      <c r="I194">
        <f t="shared" si="7"/>
        <v>11.879523809523809</v>
      </c>
      <c r="J194">
        <f t="shared" si="8"/>
        <v>11.622941176470592</v>
      </c>
      <c r="K194" s="3">
        <f t="shared" ref="K194:K217" si="9">(B194/$B$2)-1</f>
        <v>0.19170984455958551</v>
      </c>
    </row>
    <row r="195" spans="1:11" x14ac:dyDescent="0.25">
      <c r="A195" s="2">
        <v>45940</v>
      </c>
      <c r="B195">
        <v>11.41</v>
      </c>
      <c r="C195">
        <v>11.55</v>
      </c>
      <c r="D195">
        <v>11.59</v>
      </c>
      <c r="E195">
        <v>11.35</v>
      </c>
      <c r="F195">
        <v>84.6</v>
      </c>
      <c r="G195" s="1">
        <v>-7.7999999999999996E-3</v>
      </c>
      <c r="H195">
        <f>Table1[[#This Row],[High]]-Table1[[#This Row],[Low]]</f>
        <v>0.24000000000000021</v>
      </c>
      <c r="I195">
        <f t="shared" si="7"/>
        <v>11.862857142857141</v>
      </c>
      <c r="J195">
        <f t="shared" si="8"/>
        <v>11.633529411764707</v>
      </c>
      <c r="K195" s="3">
        <f t="shared" si="9"/>
        <v>0.1823834196891192</v>
      </c>
    </row>
    <row r="196" spans="1:11" x14ac:dyDescent="0.25">
      <c r="A196" s="2">
        <v>45943</v>
      </c>
      <c r="B196">
        <v>11.54</v>
      </c>
      <c r="C196">
        <v>11.49</v>
      </c>
      <c r="D196">
        <v>11.63</v>
      </c>
      <c r="E196">
        <v>11.46</v>
      </c>
      <c r="F196">
        <v>73.94</v>
      </c>
      <c r="G196" s="1">
        <v>1.14E-2</v>
      </c>
      <c r="H196">
        <f>Table1[[#This Row],[High]]-Table1[[#This Row],[Low]]</f>
        <v>0.16999999999999993</v>
      </c>
      <c r="I196">
        <f t="shared" si="7"/>
        <v>11.856190476190475</v>
      </c>
      <c r="J196">
        <f t="shared" si="8"/>
        <v>11.642745098039217</v>
      </c>
      <c r="K196" s="3">
        <f t="shared" si="9"/>
        <v>0.19585492227979251</v>
      </c>
    </row>
    <row r="197" spans="1:11" x14ac:dyDescent="0.25">
      <c r="A197" s="2">
        <v>45944</v>
      </c>
      <c r="B197">
        <v>11.65</v>
      </c>
      <c r="C197">
        <v>11.38</v>
      </c>
      <c r="D197">
        <v>11.76</v>
      </c>
      <c r="E197">
        <v>11.34</v>
      </c>
      <c r="F197">
        <v>89.12</v>
      </c>
      <c r="G197" s="1">
        <v>9.4999999999999998E-3</v>
      </c>
      <c r="H197">
        <f>Table1[[#This Row],[High]]-Table1[[#This Row],[Low]]</f>
        <v>0.41999999999999993</v>
      </c>
      <c r="I197">
        <f t="shared" si="7"/>
        <v>11.854761904761904</v>
      </c>
      <c r="J197">
        <f t="shared" si="8"/>
        <v>11.659019607843138</v>
      </c>
      <c r="K197" s="3">
        <f t="shared" si="9"/>
        <v>0.20725388601036276</v>
      </c>
    </row>
    <row r="198" spans="1:11" x14ac:dyDescent="0.25">
      <c r="A198" s="2">
        <v>45945</v>
      </c>
      <c r="B198">
        <v>11.76</v>
      </c>
      <c r="C198">
        <v>11.68</v>
      </c>
      <c r="D198">
        <v>11.78</v>
      </c>
      <c r="E198">
        <v>11.64</v>
      </c>
      <c r="F198">
        <v>88.96</v>
      </c>
      <c r="G198" s="1">
        <v>9.4000000000000004E-3</v>
      </c>
      <c r="H198">
        <f>Table1[[#This Row],[High]]-Table1[[#This Row],[Low]]</f>
        <v>0.13999999999999879</v>
      </c>
      <c r="I198">
        <f t="shared" si="7"/>
        <v>11.861904761904761</v>
      </c>
      <c r="J198">
        <f t="shared" si="8"/>
        <v>11.674901960784313</v>
      </c>
      <c r="K198" s="3">
        <f t="shared" si="9"/>
        <v>0.21865284974093258</v>
      </c>
    </row>
    <row r="199" spans="1:11" x14ac:dyDescent="0.25">
      <c r="A199" s="2">
        <v>45946</v>
      </c>
      <c r="B199">
        <v>11.74</v>
      </c>
      <c r="C199">
        <v>11.74</v>
      </c>
      <c r="D199">
        <v>11.79</v>
      </c>
      <c r="E199">
        <v>11.64</v>
      </c>
      <c r="F199">
        <v>108.7</v>
      </c>
      <c r="G199" s="1">
        <v>-1.6999999999999999E-3</v>
      </c>
      <c r="H199">
        <f>Table1[[#This Row],[High]]-Table1[[#This Row],[Low]]</f>
        <v>0.14999999999999858</v>
      </c>
      <c r="I199">
        <f t="shared" si="7"/>
        <v>11.865714285714285</v>
      </c>
      <c r="J199">
        <f t="shared" si="8"/>
        <v>11.688235294117648</v>
      </c>
      <c r="K199" s="3">
        <f t="shared" si="9"/>
        <v>0.21658031088082907</v>
      </c>
    </row>
    <row r="200" spans="1:11" x14ac:dyDescent="0.25">
      <c r="A200" s="2">
        <v>45947</v>
      </c>
      <c r="B200">
        <v>11.92</v>
      </c>
      <c r="C200">
        <v>11.74</v>
      </c>
      <c r="D200">
        <v>12.01</v>
      </c>
      <c r="E200">
        <v>11.72</v>
      </c>
      <c r="F200">
        <v>107.63</v>
      </c>
      <c r="G200" s="1">
        <v>1.5299999999999999E-2</v>
      </c>
      <c r="H200">
        <f>Table1[[#This Row],[High]]-Table1[[#This Row],[Low]]</f>
        <v>0.28999999999999915</v>
      </c>
      <c r="I200">
        <f t="shared" si="7"/>
        <v>11.874285714285714</v>
      </c>
      <c r="J200">
        <f t="shared" si="8"/>
        <v>11.702156862745097</v>
      </c>
      <c r="K200" s="3">
        <f t="shared" si="9"/>
        <v>0.23523316062176169</v>
      </c>
    </row>
    <row r="201" spans="1:11" x14ac:dyDescent="0.25">
      <c r="A201" s="2">
        <v>45950</v>
      </c>
      <c r="B201">
        <v>11.99</v>
      </c>
      <c r="C201">
        <v>11.93</v>
      </c>
      <c r="D201">
        <v>12.08</v>
      </c>
      <c r="E201">
        <v>11.91</v>
      </c>
      <c r="F201">
        <v>77.88</v>
      </c>
      <c r="G201" s="1">
        <v>5.8999999999999999E-3</v>
      </c>
      <c r="H201">
        <f>Table1[[#This Row],[High]]-Table1[[#This Row],[Low]]</f>
        <v>0.16999999999999993</v>
      </c>
      <c r="I201">
        <f t="shared" si="7"/>
        <v>11.89190476190476</v>
      </c>
      <c r="J201">
        <f t="shared" si="8"/>
        <v>11.716078431372548</v>
      </c>
      <c r="K201" s="3">
        <f t="shared" si="9"/>
        <v>0.24248704663212428</v>
      </c>
    </row>
    <row r="202" spans="1:11" x14ac:dyDescent="0.25">
      <c r="A202" s="2">
        <v>45951</v>
      </c>
      <c r="B202">
        <v>12.56</v>
      </c>
      <c r="C202">
        <v>12.26</v>
      </c>
      <c r="D202">
        <v>12.63</v>
      </c>
      <c r="E202">
        <v>12.07</v>
      </c>
      <c r="F202">
        <v>297.14999999999998</v>
      </c>
      <c r="G202" s="1">
        <v>4.7500000000000001E-2</v>
      </c>
      <c r="H202">
        <f>Table1[[#This Row],[High]]-Table1[[#This Row],[Low]]</f>
        <v>0.5600000000000005</v>
      </c>
      <c r="I202">
        <f t="shared" si="7"/>
        <v>11.934761904761904</v>
      </c>
      <c r="J202">
        <f t="shared" si="8"/>
        <v>11.740392156862745</v>
      </c>
      <c r="K202" s="3">
        <f t="shared" si="9"/>
        <v>0.30155440414507773</v>
      </c>
    </row>
    <row r="203" spans="1:11" x14ac:dyDescent="0.25">
      <c r="A203" s="2">
        <v>45952</v>
      </c>
      <c r="B203">
        <v>12.43</v>
      </c>
      <c r="C203">
        <v>12.53</v>
      </c>
      <c r="D203">
        <v>12.6</v>
      </c>
      <c r="E203">
        <v>12.28</v>
      </c>
      <c r="F203">
        <v>415.06</v>
      </c>
      <c r="G203" s="1">
        <v>-1.04E-2</v>
      </c>
      <c r="H203">
        <f>Table1[[#This Row],[High]]-Table1[[#This Row],[Low]]</f>
        <v>0.32000000000000028</v>
      </c>
      <c r="I203">
        <f t="shared" si="7"/>
        <v>11.968095238095239</v>
      </c>
      <c r="J203">
        <f t="shared" si="8"/>
        <v>11.765686274509804</v>
      </c>
      <c r="K203" s="3">
        <f t="shared" si="9"/>
        <v>0.28808290155440397</v>
      </c>
    </row>
    <row r="204" spans="1:11" x14ac:dyDescent="0.25">
      <c r="A204" s="2">
        <v>45953</v>
      </c>
      <c r="B204">
        <v>12.34</v>
      </c>
      <c r="C204">
        <v>12.47</v>
      </c>
      <c r="D204">
        <v>12.49</v>
      </c>
      <c r="E204">
        <v>12.19</v>
      </c>
      <c r="F204">
        <v>479.84</v>
      </c>
      <c r="G204" s="1">
        <v>-7.1999999999999998E-3</v>
      </c>
      <c r="H204">
        <f>Table1[[#This Row],[High]]-Table1[[#This Row],[Low]]</f>
        <v>0.30000000000000071</v>
      </c>
      <c r="I204">
        <f t="shared" si="7"/>
        <v>12.001904761904761</v>
      </c>
      <c r="J204">
        <f t="shared" si="8"/>
        <v>11.787058823529412</v>
      </c>
      <c r="K204" s="3">
        <f t="shared" si="9"/>
        <v>0.27875647668393766</v>
      </c>
    </row>
    <row r="205" spans="1:11" x14ac:dyDescent="0.25">
      <c r="A205" s="2">
        <v>45954</v>
      </c>
      <c r="B205">
        <v>13.84</v>
      </c>
      <c r="C205">
        <v>12.73</v>
      </c>
      <c r="D205">
        <v>13.97</v>
      </c>
      <c r="E205">
        <v>12.71</v>
      </c>
      <c r="F205">
        <v>298.37</v>
      </c>
      <c r="G205" s="1">
        <v>0.1216</v>
      </c>
      <c r="H205">
        <f>Table1[[#This Row],[High]]-Table1[[#This Row],[Low]]</f>
        <v>1.2599999999999998</v>
      </c>
      <c r="I205">
        <f t="shared" si="7"/>
        <v>12.107619047619048</v>
      </c>
      <c r="J205">
        <f t="shared" si="8"/>
        <v>11.834117647058825</v>
      </c>
      <c r="K205" s="3">
        <f t="shared" si="9"/>
        <v>0.43419689119170979</v>
      </c>
    </row>
    <row r="206" spans="1:11" x14ac:dyDescent="0.25">
      <c r="A206" s="2">
        <v>45957</v>
      </c>
      <c r="B206">
        <v>13.26</v>
      </c>
      <c r="C206">
        <v>13.8</v>
      </c>
      <c r="D206">
        <v>13.8</v>
      </c>
      <c r="E206">
        <v>13.21</v>
      </c>
      <c r="F206">
        <v>140.86000000000001</v>
      </c>
      <c r="G206" s="1">
        <v>-4.19E-2</v>
      </c>
      <c r="H206">
        <f>Table1[[#This Row],[High]]-Table1[[#This Row],[Low]]</f>
        <v>0.58999999999999986</v>
      </c>
      <c r="I206">
        <f t="shared" si="7"/>
        <v>12.167142857142856</v>
      </c>
      <c r="J206">
        <f t="shared" si="8"/>
        <v>11.869803921568627</v>
      </c>
      <c r="K206" s="3">
        <f t="shared" si="9"/>
        <v>0.37409326424870448</v>
      </c>
    </row>
    <row r="207" spans="1:11" x14ac:dyDescent="0.25">
      <c r="A207" s="2">
        <v>45958</v>
      </c>
      <c r="B207">
        <v>13.13</v>
      </c>
      <c r="C207">
        <v>13.24</v>
      </c>
      <c r="D207">
        <v>13.28</v>
      </c>
      <c r="E207">
        <v>13.04</v>
      </c>
      <c r="F207">
        <v>96.74</v>
      </c>
      <c r="G207" s="1">
        <v>-9.7999999999999997E-3</v>
      </c>
      <c r="H207">
        <f>Table1[[#This Row],[High]]-Table1[[#This Row],[Low]]</f>
        <v>0.24000000000000021</v>
      </c>
      <c r="I207">
        <f t="shared" si="7"/>
        <v>12.216666666666667</v>
      </c>
      <c r="J207">
        <f t="shared" si="8"/>
        <v>11.902941176470589</v>
      </c>
      <c r="K207" s="3">
        <f t="shared" si="9"/>
        <v>0.36062176165803117</v>
      </c>
    </row>
    <row r="208" spans="1:11" x14ac:dyDescent="0.25">
      <c r="A208" s="2">
        <v>45959</v>
      </c>
      <c r="B208">
        <v>13.24</v>
      </c>
      <c r="C208">
        <v>13.1</v>
      </c>
      <c r="D208">
        <v>13.39</v>
      </c>
      <c r="E208">
        <v>13.07</v>
      </c>
      <c r="F208">
        <v>127.51</v>
      </c>
      <c r="G208" s="1">
        <v>8.3999999999999995E-3</v>
      </c>
      <c r="H208">
        <f>Table1[[#This Row],[High]]-Table1[[#This Row],[Low]]</f>
        <v>0.32000000000000028</v>
      </c>
      <c r="I208">
        <f t="shared" si="7"/>
        <v>12.277619047619046</v>
      </c>
      <c r="J208">
        <f t="shared" si="8"/>
        <v>11.9378431372549</v>
      </c>
      <c r="K208" s="3">
        <f t="shared" si="9"/>
        <v>0.37202072538860098</v>
      </c>
    </row>
    <row r="209" spans="1:11" x14ac:dyDescent="0.25">
      <c r="A209" s="2">
        <v>45960</v>
      </c>
      <c r="B209">
        <v>13.06</v>
      </c>
      <c r="C209">
        <v>13.14</v>
      </c>
      <c r="D209">
        <v>13.29</v>
      </c>
      <c r="E209">
        <v>13.06</v>
      </c>
      <c r="F209">
        <v>80.77</v>
      </c>
      <c r="G209" s="1">
        <v>-1.3599999999999999E-2</v>
      </c>
      <c r="H209">
        <f>Table1[[#This Row],[High]]-Table1[[#This Row],[Low]]</f>
        <v>0.22999999999999865</v>
      </c>
      <c r="I209">
        <f t="shared" si="7"/>
        <v>12.315238095238096</v>
      </c>
      <c r="J209">
        <f t="shared" si="8"/>
        <v>11.966862745098037</v>
      </c>
      <c r="K209" s="3">
        <f t="shared" si="9"/>
        <v>0.35336787564766836</v>
      </c>
    </row>
    <row r="210" spans="1:11" x14ac:dyDescent="0.25">
      <c r="A210" s="2">
        <v>45961</v>
      </c>
      <c r="B210">
        <v>13.13</v>
      </c>
      <c r="C210">
        <v>13.04</v>
      </c>
      <c r="D210">
        <v>13.17</v>
      </c>
      <c r="E210">
        <v>12.99</v>
      </c>
      <c r="F210">
        <v>68.86</v>
      </c>
      <c r="G210" s="1">
        <v>5.4000000000000003E-3</v>
      </c>
      <c r="H210">
        <f>Table1[[#This Row],[High]]-Table1[[#This Row],[Low]]</f>
        <v>0.17999999999999972</v>
      </c>
      <c r="I210">
        <f t="shared" si="7"/>
        <v>12.35857142857143</v>
      </c>
      <c r="J210">
        <f t="shared" si="8"/>
        <v>11.999019607843138</v>
      </c>
      <c r="K210" s="3">
        <f t="shared" si="9"/>
        <v>0.36062176165803117</v>
      </c>
    </row>
    <row r="211" spans="1:11" x14ac:dyDescent="0.25">
      <c r="A211" s="2">
        <v>45964</v>
      </c>
      <c r="B211">
        <v>13.01</v>
      </c>
      <c r="C211">
        <v>13.1</v>
      </c>
      <c r="D211">
        <v>13.1</v>
      </c>
      <c r="E211">
        <v>12.9</v>
      </c>
      <c r="F211">
        <v>80.42</v>
      </c>
      <c r="G211" s="1">
        <v>-9.1000000000000004E-3</v>
      </c>
      <c r="H211">
        <f>Table1[[#This Row],[High]]-Table1[[#This Row],[Low]]</f>
        <v>0.19999999999999929</v>
      </c>
      <c r="I211">
        <f t="shared" si="7"/>
        <v>12.374761904761906</v>
      </c>
      <c r="J211">
        <f t="shared" si="8"/>
        <v>12.031960784313725</v>
      </c>
      <c r="K211" s="3">
        <f t="shared" si="9"/>
        <v>0.34818652849740928</v>
      </c>
    </row>
    <row r="212" spans="1:11" x14ac:dyDescent="0.25">
      <c r="A212" s="2">
        <v>45965</v>
      </c>
      <c r="B212">
        <v>12.79</v>
      </c>
      <c r="C212">
        <v>12.91</v>
      </c>
      <c r="D212">
        <v>12.93</v>
      </c>
      <c r="E212">
        <v>12.75</v>
      </c>
      <c r="F212">
        <v>70.36</v>
      </c>
      <c r="G212" s="1">
        <v>-1.6899999999999998E-2</v>
      </c>
      <c r="H212">
        <f>Table1[[#This Row],[High]]-Table1[[#This Row],[Low]]</f>
        <v>0.17999999999999972</v>
      </c>
      <c r="I212">
        <f t="shared" si="7"/>
        <v>12.379047619047618</v>
      </c>
      <c r="J212">
        <f t="shared" si="8"/>
        <v>12.052549019607842</v>
      </c>
      <c r="K212" s="3">
        <f t="shared" si="9"/>
        <v>0.32538860103626921</v>
      </c>
    </row>
    <row r="213" spans="1:11" x14ac:dyDescent="0.25">
      <c r="A213" s="2">
        <v>45966</v>
      </c>
      <c r="B213">
        <v>13.11</v>
      </c>
      <c r="C213">
        <v>12.92</v>
      </c>
      <c r="D213">
        <v>13.31</v>
      </c>
      <c r="E213">
        <v>12.88</v>
      </c>
      <c r="F213">
        <v>79.13</v>
      </c>
      <c r="G213" s="1">
        <v>2.5000000000000001E-2</v>
      </c>
      <c r="H213">
        <f>Table1[[#This Row],[High]]-Table1[[#This Row],[Low]]</f>
        <v>0.42999999999999972</v>
      </c>
      <c r="I213">
        <f t="shared" si="7"/>
        <v>12.435714285714285</v>
      </c>
      <c r="J213">
        <f t="shared" si="8"/>
        <v>12.0778431372549</v>
      </c>
      <c r="K213" s="3">
        <f t="shared" si="9"/>
        <v>0.35854922279792745</v>
      </c>
    </row>
    <row r="214" spans="1:11" x14ac:dyDescent="0.25">
      <c r="A214" s="2">
        <v>45967</v>
      </c>
      <c r="B214">
        <v>13.12</v>
      </c>
      <c r="C214">
        <v>13.14</v>
      </c>
      <c r="D214">
        <v>13.26</v>
      </c>
      <c r="E214">
        <v>12.98</v>
      </c>
      <c r="F214">
        <v>82.29</v>
      </c>
      <c r="G214" s="1">
        <v>8.0000000000000004E-4</v>
      </c>
      <c r="H214">
        <f>Table1[[#This Row],[High]]-Table1[[#This Row],[Low]]</f>
        <v>0.27999999999999936</v>
      </c>
      <c r="I214">
        <f t="shared" si="7"/>
        <v>12.501428571428571</v>
      </c>
      <c r="J214">
        <f t="shared" si="8"/>
        <v>12.102941176470589</v>
      </c>
      <c r="K214" s="3">
        <f t="shared" si="9"/>
        <v>0.35958549222797909</v>
      </c>
    </row>
    <row r="215" spans="1:11" x14ac:dyDescent="0.25">
      <c r="A215" s="2">
        <v>45968</v>
      </c>
      <c r="B215">
        <v>13.21</v>
      </c>
      <c r="C215">
        <v>12.96</v>
      </c>
      <c r="D215">
        <v>13.24</v>
      </c>
      <c r="E215">
        <v>12.95</v>
      </c>
      <c r="F215">
        <v>80.010000000000005</v>
      </c>
      <c r="G215" s="1">
        <v>6.8999999999999999E-3</v>
      </c>
      <c r="H215">
        <f>Table1[[#This Row],[High]]-Table1[[#This Row],[Low]]</f>
        <v>0.29000000000000092</v>
      </c>
      <c r="I215">
        <f t="shared" ref="I215:I217" si="10">AVERAGE(B195:B215)</f>
        <v>12.58285714285714</v>
      </c>
      <c r="J215">
        <f t="shared" si="8"/>
        <v>12.128431372549018</v>
      </c>
      <c r="K215" s="3">
        <f t="shared" si="9"/>
        <v>0.36891191709844562</v>
      </c>
    </row>
    <row r="216" spans="1:11" x14ac:dyDescent="0.25">
      <c r="A216" s="2">
        <v>45971</v>
      </c>
      <c r="B216">
        <v>13.16</v>
      </c>
      <c r="C216">
        <v>13.23</v>
      </c>
      <c r="D216">
        <v>13.23</v>
      </c>
      <c r="E216">
        <v>13</v>
      </c>
      <c r="F216">
        <v>62.05</v>
      </c>
      <c r="G216" s="1">
        <v>-3.8E-3</v>
      </c>
      <c r="H216">
        <f>Table1[[#This Row],[High]]-Table1[[#This Row],[Low]]</f>
        <v>0.23000000000000043</v>
      </c>
      <c r="I216">
        <f t="shared" si="10"/>
        <v>12.666190476190476</v>
      </c>
      <c r="J216">
        <f t="shared" si="8"/>
        <v>12.156862745098037</v>
      </c>
      <c r="K216" s="3">
        <f t="shared" si="9"/>
        <v>0.36373056994818653</v>
      </c>
    </row>
    <row r="217" spans="1:11" x14ac:dyDescent="0.25">
      <c r="A217" s="2">
        <v>45972</v>
      </c>
      <c r="B217">
        <v>13.42</v>
      </c>
      <c r="C217">
        <v>13.22</v>
      </c>
      <c r="D217">
        <v>13.44</v>
      </c>
      <c r="E217">
        <v>13.19</v>
      </c>
      <c r="F217">
        <v>54.16</v>
      </c>
      <c r="G217" s="1">
        <v>1.9800000000000002E-2</v>
      </c>
      <c r="H217">
        <f>Table1[[#This Row],[High]]-Table1[[#This Row],[Low]]</f>
        <v>0.25</v>
      </c>
      <c r="I217">
        <f t="shared" si="10"/>
        <v>12.755714285714289</v>
      </c>
      <c r="J217">
        <f t="shared" si="8"/>
        <v>12.18921568627451</v>
      </c>
      <c r="K217" s="3">
        <f t="shared" si="9"/>
        <v>0.3906735751295336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Jackson</cp:lastModifiedBy>
  <dcterms:created xsi:type="dcterms:W3CDTF">2025-11-11T20:42:19Z</dcterms:created>
  <dcterms:modified xsi:type="dcterms:W3CDTF">2025-11-11T21:03:32Z</dcterms:modified>
</cp:coreProperties>
</file>