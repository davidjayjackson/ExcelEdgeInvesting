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stock_analysis_excel\"/>
    </mc:Choice>
  </mc:AlternateContent>
  <xr:revisionPtr revIDLastSave="0" documentId="13_ncr:1_{C0C4EDCB-23C1-482C-AAC0-05034D1391FA}" xr6:coauthVersionLast="47" xr6:coauthVersionMax="47" xr10:uidLastSave="{00000000-0000-0000-0000-000000000000}"/>
  <bookViews>
    <workbookView xWindow="-120" yWindow="-120" windowWidth="20730" windowHeight="11040" xr2:uid="{98CB385C-E188-4640-A798-378284F67447}"/>
  </bookViews>
  <sheets>
    <sheet name="US Stocks" sheetId="1" r:id="rId1"/>
    <sheet name="US Dashboard" sheetId="3" r:id="rId2"/>
    <sheet name="Tunisia Stocks" sheetId="2" r:id="rId3"/>
    <sheet name="Tun 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2" l="1"/>
  <c r="K2" i="2"/>
  <c r="J3" i="2"/>
  <c r="K3" i="2"/>
  <c r="L22" i="2" s="1"/>
  <c r="J4" i="2"/>
  <c r="K4" i="2"/>
  <c r="J5" i="2"/>
  <c r="K5" i="2"/>
  <c r="L21" i="2" s="1"/>
  <c r="J6" i="2"/>
  <c r="K6" i="2"/>
  <c r="J7" i="2"/>
  <c r="K7" i="2"/>
  <c r="L26" i="2" s="1"/>
  <c r="J8" i="2"/>
  <c r="K8" i="2"/>
  <c r="J9" i="2"/>
  <c r="K9" i="2"/>
  <c r="L25" i="2" s="1"/>
  <c r="J10" i="2"/>
  <c r="K10" i="2"/>
  <c r="J11" i="2"/>
  <c r="K11" i="2"/>
  <c r="L30" i="2" s="1"/>
  <c r="J12" i="2"/>
  <c r="K12" i="2"/>
  <c r="J13" i="2"/>
  <c r="K13" i="2"/>
  <c r="L29" i="2" s="1"/>
  <c r="J14" i="2"/>
  <c r="K14" i="2"/>
  <c r="J15" i="2"/>
  <c r="K15" i="2"/>
  <c r="L34" i="2" s="1"/>
  <c r="J16" i="2"/>
  <c r="K16" i="2"/>
  <c r="J17" i="2"/>
  <c r="K17" i="2"/>
  <c r="L33" i="2" s="1"/>
  <c r="J18" i="2"/>
  <c r="K18" i="2"/>
  <c r="J19" i="2"/>
  <c r="K19" i="2"/>
  <c r="L38" i="2" s="1"/>
  <c r="J20" i="2"/>
  <c r="K20" i="2"/>
  <c r="H21" i="2"/>
  <c r="J21" i="2"/>
  <c r="K21" i="2"/>
  <c r="H22" i="2"/>
  <c r="J22" i="2"/>
  <c r="K22" i="2"/>
  <c r="H23" i="2"/>
  <c r="J23" i="2"/>
  <c r="K23" i="2"/>
  <c r="H24" i="2"/>
  <c r="J24" i="2"/>
  <c r="K24" i="2"/>
  <c r="H25" i="2"/>
  <c r="J25" i="2"/>
  <c r="K25" i="2"/>
  <c r="H26" i="2"/>
  <c r="J26" i="2"/>
  <c r="K26" i="2"/>
  <c r="H27" i="2"/>
  <c r="J27" i="2"/>
  <c r="K27" i="2"/>
  <c r="H28" i="2"/>
  <c r="J28" i="2"/>
  <c r="K28" i="2"/>
  <c r="H29" i="2"/>
  <c r="J29" i="2"/>
  <c r="K29" i="2"/>
  <c r="H30" i="2"/>
  <c r="J30" i="2"/>
  <c r="K30" i="2"/>
  <c r="H31" i="2"/>
  <c r="J31" i="2"/>
  <c r="K31" i="2"/>
  <c r="L40" i="2" s="1"/>
  <c r="H32" i="2"/>
  <c r="J32" i="2"/>
  <c r="K32" i="2"/>
  <c r="H33" i="2"/>
  <c r="J33" i="2"/>
  <c r="K33" i="2"/>
  <c r="H34" i="2"/>
  <c r="J34" i="2"/>
  <c r="K34" i="2"/>
  <c r="H35" i="2"/>
  <c r="J35" i="2"/>
  <c r="K35" i="2"/>
  <c r="H36" i="2"/>
  <c r="J36" i="2"/>
  <c r="K36" i="2"/>
  <c r="L42" i="2" s="1"/>
  <c r="H37" i="2"/>
  <c r="J37" i="2"/>
  <c r="K37" i="2"/>
  <c r="L37" i="2"/>
  <c r="H38" i="2"/>
  <c r="J38" i="2"/>
  <c r="K38" i="2"/>
  <c r="H39" i="2"/>
  <c r="J39" i="2"/>
  <c r="K39" i="2"/>
  <c r="L39" i="2"/>
  <c r="H40" i="2"/>
  <c r="J40" i="2"/>
  <c r="K40" i="2"/>
  <c r="L44" i="2" s="1"/>
  <c r="H41" i="2"/>
  <c r="J41" i="2"/>
  <c r="K41" i="2"/>
  <c r="L41" i="2"/>
  <c r="H42" i="2"/>
  <c r="J42" i="2"/>
  <c r="K42" i="2"/>
  <c r="L46" i="2" s="1"/>
  <c r="H43" i="2"/>
  <c r="J43" i="2"/>
  <c r="K43" i="2"/>
  <c r="L43" i="2"/>
  <c r="H44" i="2"/>
  <c r="J44" i="2"/>
  <c r="K44" i="2"/>
  <c r="H45" i="2"/>
  <c r="J45" i="2"/>
  <c r="K45" i="2"/>
  <c r="L45" i="2"/>
  <c r="H46" i="2"/>
  <c r="J46" i="2"/>
  <c r="K46" i="2"/>
  <c r="L48" i="2" s="1"/>
  <c r="H47" i="2"/>
  <c r="J47" i="2"/>
  <c r="K47" i="2"/>
  <c r="L47" i="2"/>
  <c r="H48" i="2"/>
  <c r="J48" i="2"/>
  <c r="K48" i="2"/>
  <c r="H49" i="2"/>
  <c r="J49" i="2"/>
  <c r="K49" i="2"/>
  <c r="L49" i="2"/>
  <c r="H50" i="2"/>
  <c r="J50" i="2"/>
  <c r="K50" i="2"/>
  <c r="L50" i="2"/>
  <c r="H51" i="2"/>
  <c r="I51" i="2"/>
  <c r="J51" i="2"/>
  <c r="K51" i="2"/>
  <c r="L57" i="2" s="1"/>
  <c r="H52" i="2"/>
  <c r="I52" i="2"/>
  <c r="J52" i="2"/>
  <c r="K52" i="2"/>
  <c r="L52" i="2"/>
  <c r="H53" i="2"/>
  <c r="I53" i="2"/>
  <c r="J53" i="2"/>
  <c r="K53" i="2"/>
  <c r="L71" i="2" s="1"/>
  <c r="H54" i="2"/>
  <c r="I54" i="2"/>
  <c r="J54" i="2"/>
  <c r="K54" i="2"/>
  <c r="L54" i="2"/>
  <c r="H55" i="2"/>
  <c r="I55" i="2"/>
  <c r="J55" i="2"/>
  <c r="K55" i="2"/>
  <c r="H56" i="2"/>
  <c r="I56" i="2"/>
  <c r="J56" i="2"/>
  <c r="K56" i="2"/>
  <c r="L74" i="2" s="1"/>
  <c r="H57" i="2"/>
  <c r="I57" i="2"/>
  <c r="J57" i="2"/>
  <c r="K57" i="2"/>
  <c r="L73" i="2" s="1"/>
  <c r="H58" i="2"/>
  <c r="I58" i="2"/>
  <c r="J58" i="2"/>
  <c r="K58" i="2"/>
  <c r="H59" i="2"/>
  <c r="I59" i="2"/>
  <c r="J59" i="2"/>
  <c r="K59" i="2"/>
  <c r="H60" i="2"/>
  <c r="I60" i="2"/>
  <c r="J60" i="2"/>
  <c r="K60" i="2"/>
  <c r="L60" i="2"/>
  <c r="H61" i="2"/>
  <c r="I61" i="2"/>
  <c r="J61" i="2"/>
  <c r="K61" i="2"/>
  <c r="L79" i="2" s="1"/>
  <c r="H62" i="2"/>
  <c r="I62" i="2"/>
  <c r="J62" i="2"/>
  <c r="K62" i="2"/>
  <c r="H63" i="2"/>
  <c r="I63" i="2"/>
  <c r="J63" i="2"/>
  <c r="K63" i="2"/>
  <c r="H64" i="2"/>
  <c r="I64" i="2"/>
  <c r="J64" i="2"/>
  <c r="K64" i="2"/>
  <c r="L81" i="2" s="1"/>
  <c r="H65" i="2"/>
  <c r="I65" i="2"/>
  <c r="J65" i="2"/>
  <c r="K65" i="2"/>
  <c r="L78" i="2" s="1"/>
  <c r="H66" i="2"/>
  <c r="I66" i="2"/>
  <c r="J66" i="2"/>
  <c r="K66" i="2"/>
  <c r="H67" i="2"/>
  <c r="I67" i="2"/>
  <c r="J67" i="2"/>
  <c r="K67" i="2"/>
  <c r="H68" i="2"/>
  <c r="I68" i="2"/>
  <c r="J68" i="2"/>
  <c r="K68" i="2"/>
  <c r="L68" i="2"/>
  <c r="H69" i="2"/>
  <c r="I69" i="2"/>
  <c r="J69" i="2"/>
  <c r="K69" i="2"/>
  <c r="L87" i="2" s="1"/>
  <c r="H70" i="2"/>
  <c r="I70" i="2"/>
  <c r="J70" i="2"/>
  <c r="K70" i="2"/>
  <c r="H71" i="2"/>
  <c r="I71" i="2"/>
  <c r="J71" i="2"/>
  <c r="K71" i="2"/>
  <c r="H72" i="2"/>
  <c r="I72" i="2"/>
  <c r="J72" i="2"/>
  <c r="K72" i="2"/>
  <c r="L89" i="2" s="1"/>
  <c r="H73" i="2"/>
  <c r="I73" i="2"/>
  <c r="J73" i="2"/>
  <c r="K73" i="2"/>
  <c r="L86" i="2" s="1"/>
  <c r="H74" i="2"/>
  <c r="I74" i="2"/>
  <c r="J74" i="2"/>
  <c r="K74" i="2"/>
  <c r="H75" i="2"/>
  <c r="I75" i="2"/>
  <c r="J75" i="2"/>
  <c r="K75" i="2"/>
  <c r="H76" i="2"/>
  <c r="I76" i="2"/>
  <c r="J76" i="2"/>
  <c r="K76" i="2"/>
  <c r="L76" i="2"/>
  <c r="H77" i="2"/>
  <c r="I77" i="2"/>
  <c r="J77" i="2"/>
  <c r="K77" i="2"/>
  <c r="L95" i="2" s="1"/>
  <c r="H78" i="2"/>
  <c r="I78" i="2"/>
  <c r="J78" i="2"/>
  <c r="K78" i="2"/>
  <c r="H79" i="2"/>
  <c r="I79" i="2"/>
  <c r="J79" i="2"/>
  <c r="K79" i="2"/>
  <c r="H80" i="2"/>
  <c r="I80" i="2"/>
  <c r="J80" i="2"/>
  <c r="K80" i="2"/>
  <c r="L97" i="2" s="1"/>
  <c r="H81" i="2"/>
  <c r="I81" i="2"/>
  <c r="J81" i="2"/>
  <c r="K81" i="2"/>
  <c r="L94" i="2" s="1"/>
  <c r="H82" i="2"/>
  <c r="I82" i="2"/>
  <c r="J82" i="2"/>
  <c r="K82" i="2"/>
  <c r="H83" i="2"/>
  <c r="I83" i="2"/>
  <c r="J83" i="2"/>
  <c r="K83" i="2"/>
  <c r="H84" i="2"/>
  <c r="I84" i="2"/>
  <c r="J84" i="2"/>
  <c r="K84" i="2"/>
  <c r="L84" i="2"/>
  <c r="H85" i="2"/>
  <c r="I85" i="2"/>
  <c r="J85" i="2"/>
  <c r="K85" i="2"/>
  <c r="L103" i="2" s="1"/>
  <c r="H86" i="2"/>
  <c r="I86" i="2"/>
  <c r="J86" i="2"/>
  <c r="K86" i="2"/>
  <c r="H87" i="2"/>
  <c r="I87" i="2"/>
  <c r="J87" i="2"/>
  <c r="K87" i="2"/>
  <c r="H88" i="2"/>
  <c r="I88" i="2"/>
  <c r="J88" i="2"/>
  <c r="K88" i="2"/>
  <c r="L105" i="2" s="1"/>
  <c r="H89" i="2"/>
  <c r="I89" i="2"/>
  <c r="J89" i="2"/>
  <c r="K89" i="2"/>
  <c r="L102" i="2" s="1"/>
  <c r="H90" i="2"/>
  <c r="I90" i="2"/>
  <c r="J90" i="2"/>
  <c r="K90" i="2"/>
  <c r="H91" i="2"/>
  <c r="I91" i="2"/>
  <c r="J91" i="2"/>
  <c r="K91" i="2"/>
  <c r="H92" i="2"/>
  <c r="I92" i="2"/>
  <c r="J92" i="2"/>
  <c r="K92" i="2"/>
  <c r="L92" i="2"/>
  <c r="H93" i="2"/>
  <c r="I93" i="2"/>
  <c r="J93" i="2"/>
  <c r="K93" i="2"/>
  <c r="L111" i="2" s="1"/>
  <c r="H94" i="2"/>
  <c r="I94" i="2"/>
  <c r="J94" i="2"/>
  <c r="K94" i="2"/>
  <c r="H95" i="2"/>
  <c r="I95" i="2"/>
  <c r="J95" i="2"/>
  <c r="K95" i="2"/>
  <c r="H96" i="2"/>
  <c r="I96" i="2"/>
  <c r="J96" i="2"/>
  <c r="K96" i="2"/>
  <c r="L113" i="2" s="1"/>
  <c r="H97" i="2"/>
  <c r="I97" i="2"/>
  <c r="J97" i="2"/>
  <c r="K97" i="2"/>
  <c r="L110" i="2" s="1"/>
  <c r="H98" i="2"/>
  <c r="I98" i="2"/>
  <c r="J98" i="2"/>
  <c r="K98" i="2"/>
  <c r="H99" i="2"/>
  <c r="I99" i="2"/>
  <c r="J99" i="2"/>
  <c r="K99" i="2"/>
  <c r="H100" i="2"/>
  <c r="I100" i="2"/>
  <c r="J100" i="2"/>
  <c r="K100" i="2"/>
  <c r="L100" i="2"/>
  <c r="H101" i="2"/>
  <c r="I101" i="2"/>
  <c r="J101" i="2"/>
  <c r="K101" i="2"/>
  <c r="L119" i="2" s="1"/>
  <c r="H102" i="2"/>
  <c r="I102" i="2"/>
  <c r="J102" i="2"/>
  <c r="K102" i="2"/>
  <c r="H103" i="2"/>
  <c r="I103" i="2"/>
  <c r="J103" i="2"/>
  <c r="K103" i="2"/>
  <c r="H104" i="2"/>
  <c r="I104" i="2"/>
  <c r="J104" i="2"/>
  <c r="K104" i="2"/>
  <c r="L121" i="2" s="1"/>
  <c r="H105" i="2"/>
  <c r="I105" i="2"/>
  <c r="J105" i="2"/>
  <c r="K105" i="2"/>
  <c r="L118" i="2" s="1"/>
  <c r="H106" i="2"/>
  <c r="I106" i="2"/>
  <c r="J106" i="2"/>
  <c r="K106" i="2"/>
  <c r="H107" i="2"/>
  <c r="I107" i="2"/>
  <c r="J107" i="2"/>
  <c r="K107" i="2"/>
  <c r="H108" i="2"/>
  <c r="I108" i="2"/>
  <c r="J108" i="2"/>
  <c r="K108" i="2"/>
  <c r="L108" i="2"/>
  <c r="H109" i="2"/>
  <c r="I109" i="2"/>
  <c r="J109" i="2"/>
  <c r="K109" i="2"/>
  <c r="L127" i="2" s="1"/>
  <c r="H110" i="2"/>
  <c r="I110" i="2"/>
  <c r="J110" i="2"/>
  <c r="K110" i="2"/>
  <c r="H111" i="2"/>
  <c r="I111" i="2"/>
  <c r="J111" i="2"/>
  <c r="K111" i="2"/>
  <c r="H112" i="2"/>
  <c r="I112" i="2"/>
  <c r="J112" i="2"/>
  <c r="K112" i="2"/>
  <c r="L129" i="2" s="1"/>
  <c r="H113" i="2"/>
  <c r="I113" i="2"/>
  <c r="J113" i="2"/>
  <c r="K113" i="2"/>
  <c r="L126" i="2" s="1"/>
  <c r="H114" i="2"/>
  <c r="I114" i="2"/>
  <c r="J114" i="2"/>
  <c r="K114" i="2"/>
  <c r="H115" i="2"/>
  <c r="I115" i="2"/>
  <c r="J115" i="2"/>
  <c r="K115" i="2"/>
  <c r="H116" i="2"/>
  <c r="I116" i="2"/>
  <c r="J116" i="2"/>
  <c r="K116" i="2"/>
  <c r="L116" i="2"/>
  <c r="H117" i="2"/>
  <c r="I117" i="2"/>
  <c r="J117" i="2"/>
  <c r="K117" i="2"/>
  <c r="L135" i="2" s="1"/>
  <c r="H118" i="2"/>
  <c r="I118" i="2"/>
  <c r="J118" i="2"/>
  <c r="K118" i="2"/>
  <c r="H119" i="2"/>
  <c r="I119" i="2"/>
  <c r="J119" i="2"/>
  <c r="K119" i="2"/>
  <c r="H120" i="2"/>
  <c r="I120" i="2"/>
  <c r="J120" i="2"/>
  <c r="K120" i="2"/>
  <c r="L137" i="2" s="1"/>
  <c r="H121" i="2"/>
  <c r="I121" i="2"/>
  <c r="J121" i="2"/>
  <c r="K121" i="2"/>
  <c r="L134" i="2" s="1"/>
  <c r="H122" i="2"/>
  <c r="I122" i="2"/>
  <c r="J122" i="2"/>
  <c r="K122" i="2"/>
  <c r="H123" i="2"/>
  <c r="I123" i="2"/>
  <c r="J123" i="2"/>
  <c r="K123" i="2"/>
  <c r="H124" i="2"/>
  <c r="I124" i="2"/>
  <c r="J124" i="2"/>
  <c r="K124" i="2"/>
  <c r="L124" i="2"/>
  <c r="H125" i="2"/>
  <c r="I125" i="2"/>
  <c r="J125" i="2"/>
  <c r="K125" i="2"/>
  <c r="L143" i="2" s="1"/>
  <c r="H126" i="2"/>
  <c r="I126" i="2"/>
  <c r="J126" i="2"/>
  <c r="K126" i="2"/>
  <c r="H127" i="2"/>
  <c r="I127" i="2"/>
  <c r="J127" i="2"/>
  <c r="K127" i="2"/>
  <c r="H128" i="2"/>
  <c r="I128" i="2"/>
  <c r="J128" i="2"/>
  <c r="K128" i="2"/>
  <c r="L145" i="2" s="1"/>
  <c r="H129" i="2"/>
  <c r="I129" i="2"/>
  <c r="J129" i="2"/>
  <c r="K129" i="2"/>
  <c r="L142" i="2" s="1"/>
  <c r="H130" i="2"/>
  <c r="I130" i="2"/>
  <c r="J130" i="2"/>
  <c r="K130" i="2"/>
  <c r="H131" i="2"/>
  <c r="I131" i="2"/>
  <c r="J131" i="2"/>
  <c r="K131" i="2"/>
  <c r="H132" i="2"/>
  <c r="I132" i="2"/>
  <c r="J132" i="2"/>
  <c r="K132" i="2"/>
  <c r="L132" i="2"/>
  <c r="H133" i="2"/>
  <c r="I133" i="2"/>
  <c r="J133" i="2"/>
  <c r="K133" i="2"/>
  <c r="L151" i="2" s="1"/>
  <c r="H134" i="2"/>
  <c r="I134" i="2"/>
  <c r="J134" i="2"/>
  <c r="K134" i="2"/>
  <c r="H135" i="2"/>
  <c r="I135" i="2"/>
  <c r="J135" i="2"/>
  <c r="K135" i="2"/>
  <c r="H136" i="2"/>
  <c r="I136" i="2"/>
  <c r="J136" i="2"/>
  <c r="K136" i="2"/>
  <c r="L153" i="2" s="1"/>
  <c r="H137" i="2"/>
  <c r="I137" i="2"/>
  <c r="J137" i="2"/>
  <c r="K137" i="2"/>
  <c r="L150" i="2" s="1"/>
  <c r="H138" i="2"/>
  <c r="I138" i="2"/>
  <c r="J138" i="2"/>
  <c r="K138" i="2"/>
  <c r="H139" i="2"/>
  <c r="I139" i="2"/>
  <c r="J139" i="2"/>
  <c r="K139" i="2"/>
  <c r="H140" i="2"/>
  <c r="I140" i="2"/>
  <c r="J140" i="2"/>
  <c r="K140" i="2"/>
  <c r="L140" i="2"/>
  <c r="H141" i="2"/>
  <c r="I141" i="2"/>
  <c r="J141" i="2"/>
  <c r="K141" i="2"/>
  <c r="L159" i="2" s="1"/>
  <c r="H142" i="2"/>
  <c r="I142" i="2"/>
  <c r="J142" i="2"/>
  <c r="K142" i="2"/>
  <c r="H143" i="2"/>
  <c r="I143" i="2"/>
  <c r="J143" i="2"/>
  <c r="K143" i="2"/>
  <c r="H144" i="2"/>
  <c r="I144" i="2"/>
  <c r="J144" i="2"/>
  <c r="K144" i="2"/>
  <c r="L161" i="2" s="1"/>
  <c r="H145" i="2"/>
  <c r="I145" i="2"/>
  <c r="J145" i="2"/>
  <c r="K145" i="2"/>
  <c r="L158" i="2" s="1"/>
  <c r="H146" i="2"/>
  <c r="I146" i="2"/>
  <c r="J146" i="2"/>
  <c r="K146" i="2"/>
  <c r="H147" i="2"/>
  <c r="I147" i="2"/>
  <c r="J147" i="2"/>
  <c r="K147" i="2"/>
  <c r="H148" i="2"/>
  <c r="I148" i="2"/>
  <c r="J148" i="2"/>
  <c r="K148" i="2"/>
  <c r="L148" i="2"/>
  <c r="H149" i="2"/>
  <c r="I149" i="2"/>
  <c r="J149" i="2"/>
  <c r="K149" i="2"/>
  <c r="L167" i="2" s="1"/>
  <c r="H150" i="2"/>
  <c r="I150" i="2"/>
  <c r="J150" i="2"/>
  <c r="K150" i="2"/>
  <c r="H151" i="2"/>
  <c r="I151" i="2"/>
  <c r="J151" i="2"/>
  <c r="K151" i="2"/>
  <c r="H152" i="2"/>
  <c r="I152" i="2"/>
  <c r="J152" i="2"/>
  <c r="K152" i="2"/>
  <c r="L169" i="2" s="1"/>
  <c r="H153" i="2"/>
  <c r="I153" i="2"/>
  <c r="J153" i="2"/>
  <c r="K153" i="2"/>
  <c r="L166" i="2" s="1"/>
  <c r="H154" i="2"/>
  <c r="I154" i="2"/>
  <c r="J154" i="2"/>
  <c r="K154" i="2"/>
  <c r="H155" i="2"/>
  <c r="I155" i="2"/>
  <c r="J155" i="2"/>
  <c r="K155" i="2"/>
  <c r="H156" i="2"/>
  <c r="I156" i="2"/>
  <c r="J156" i="2"/>
  <c r="K156" i="2"/>
  <c r="L156" i="2"/>
  <c r="H157" i="2"/>
  <c r="I157" i="2"/>
  <c r="J157" i="2"/>
  <c r="K157" i="2"/>
  <c r="L175" i="2" s="1"/>
  <c r="H158" i="2"/>
  <c r="I158" i="2"/>
  <c r="J158" i="2"/>
  <c r="K158" i="2"/>
  <c r="H159" i="2"/>
  <c r="I159" i="2"/>
  <c r="J159" i="2"/>
  <c r="K159" i="2"/>
  <c r="H160" i="2"/>
  <c r="I160" i="2"/>
  <c r="J160" i="2"/>
  <c r="K160" i="2"/>
  <c r="L177" i="2" s="1"/>
  <c r="H161" i="2"/>
  <c r="I161" i="2"/>
  <c r="J161" i="2"/>
  <c r="K161" i="2"/>
  <c r="L174" i="2" s="1"/>
  <c r="H162" i="2"/>
  <c r="I162" i="2"/>
  <c r="J162" i="2"/>
  <c r="K162" i="2"/>
  <c r="H163" i="2"/>
  <c r="I163" i="2"/>
  <c r="J163" i="2"/>
  <c r="K163" i="2"/>
  <c r="H164" i="2"/>
  <c r="I164" i="2"/>
  <c r="J164" i="2"/>
  <c r="K164" i="2"/>
  <c r="L164" i="2"/>
  <c r="H165" i="2"/>
  <c r="I165" i="2"/>
  <c r="J165" i="2"/>
  <c r="K165" i="2"/>
  <c r="L183" i="2" s="1"/>
  <c r="H166" i="2"/>
  <c r="I166" i="2"/>
  <c r="J166" i="2"/>
  <c r="K166" i="2"/>
  <c r="H167" i="2"/>
  <c r="I167" i="2"/>
  <c r="J167" i="2"/>
  <c r="K167" i="2"/>
  <c r="H168" i="2"/>
  <c r="I168" i="2"/>
  <c r="J168" i="2"/>
  <c r="K168" i="2"/>
  <c r="L185" i="2" s="1"/>
  <c r="H169" i="2"/>
  <c r="I169" i="2"/>
  <c r="J169" i="2"/>
  <c r="K169" i="2"/>
  <c r="L182" i="2" s="1"/>
  <c r="H170" i="2"/>
  <c r="I170" i="2"/>
  <c r="J170" i="2"/>
  <c r="K170" i="2"/>
  <c r="H171" i="2"/>
  <c r="I171" i="2"/>
  <c r="J171" i="2"/>
  <c r="K171" i="2"/>
  <c r="H172" i="2"/>
  <c r="I172" i="2"/>
  <c r="J172" i="2"/>
  <c r="K172" i="2"/>
  <c r="L172" i="2"/>
  <c r="H173" i="2"/>
  <c r="I173" i="2"/>
  <c r="J173" i="2"/>
  <c r="K173" i="2"/>
  <c r="L191" i="2" s="1"/>
  <c r="H174" i="2"/>
  <c r="I174" i="2"/>
  <c r="J174" i="2"/>
  <c r="K174" i="2"/>
  <c r="H175" i="2"/>
  <c r="I175" i="2"/>
  <c r="J175" i="2"/>
  <c r="K175" i="2"/>
  <c r="H176" i="2"/>
  <c r="I176" i="2"/>
  <c r="J176" i="2"/>
  <c r="K176" i="2"/>
  <c r="L193" i="2" s="1"/>
  <c r="H177" i="2"/>
  <c r="I177" i="2"/>
  <c r="J177" i="2"/>
  <c r="K177" i="2"/>
  <c r="L190" i="2" s="1"/>
  <c r="H178" i="2"/>
  <c r="I178" i="2"/>
  <c r="J178" i="2"/>
  <c r="K178" i="2"/>
  <c r="H179" i="2"/>
  <c r="I179" i="2"/>
  <c r="J179" i="2"/>
  <c r="K179" i="2"/>
  <c r="H180" i="2"/>
  <c r="I180" i="2"/>
  <c r="J180" i="2"/>
  <c r="K180" i="2"/>
  <c r="L180" i="2"/>
  <c r="H181" i="2"/>
  <c r="I181" i="2"/>
  <c r="J181" i="2"/>
  <c r="K181" i="2"/>
  <c r="L199" i="2" s="1"/>
  <c r="H182" i="2"/>
  <c r="I182" i="2"/>
  <c r="J182" i="2"/>
  <c r="K182" i="2"/>
  <c r="H183" i="2"/>
  <c r="I183" i="2"/>
  <c r="J183" i="2"/>
  <c r="K183" i="2"/>
  <c r="H184" i="2"/>
  <c r="I184" i="2"/>
  <c r="J184" i="2"/>
  <c r="K184" i="2"/>
  <c r="L201" i="2" s="1"/>
  <c r="H185" i="2"/>
  <c r="I185" i="2"/>
  <c r="J185" i="2"/>
  <c r="K185" i="2"/>
  <c r="L198" i="2" s="1"/>
  <c r="H186" i="2"/>
  <c r="I186" i="2"/>
  <c r="J186" i="2"/>
  <c r="K186" i="2"/>
  <c r="H187" i="2"/>
  <c r="I187" i="2"/>
  <c r="J187" i="2"/>
  <c r="K187" i="2"/>
  <c r="H188" i="2"/>
  <c r="I188" i="2"/>
  <c r="J188" i="2"/>
  <c r="K188" i="2"/>
  <c r="H189" i="2"/>
  <c r="I189" i="2"/>
  <c r="J189" i="2"/>
  <c r="K189" i="2"/>
  <c r="L207" i="2" s="1"/>
  <c r="H190" i="2"/>
  <c r="I190" i="2"/>
  <c r="J190" i="2"/>
  <c r="K190" i="2"/>
  <c r="H191" i="2"/>
  <c r="I191" i="2"/>
  <c r="J191" i="2"/>
  <c r="K191" i="2"/>
  <c r="H192" i="2"/>
  <c r="I192" i="2"/>
  <c r="J192" i="2"/>
  <c r="K192" i="2"/>
  <c r="L209" i="2" s="1"/>
  <c r="H193" i="2"/>
  <c r="I193" i="2"/>
  <c r="J193" i="2"/>
  <c r="K193" i="2"/>
  <c r="L206" i="2" s="1"/>
  <c r="H194" i="2"/>
  <c r="I194" i="2"/>
  <c r="J194" i="2"/>
  <c r="K194" i="2"/>
  <c r="H195" i="2"/>
  <c r="I195" i="2"/>
  <c r="J195" i="2"/>
  <c r="K195" i="2"/>
  <c r="H196" i="2"/>
  <c r="I196" i="2"/>
  <c r="J196" i="2"/>
  <c r="K196" i="2"/>
  <c r="H197" i="2"/>
  <c r="I197" i="2"/>
  <c r="J197" i="2"/>
  <c r="K197" i="2"/>
  <c r="L215" i="2" s="1"/>
  <c r="H198" i="2"/>
  <c r="I198" i="2"/>
  <c r="J198" i="2"/>
  <c r="K198" i="2"/>
  <c r="H199" i="2"/>
  <c r="I199" i="2"/>
  <c r="J199" i="2"/>
  <c r="K199" i="2"/>
  <c r="H200" i="2"/>
  <c r="I200" i="2"/>
  <c r="J200" i="2"/>
  <c r="K200" i="2"/>
  <c r="L217" i="2" s="1"/>
  <c r="H201" i="2"/>
  <c r="I201" i="2"/>
  <c r="J201" i="2"/>
  <c r="K201" i="2"/>
  <c r="L214" i="2" s="1"/>
  <c r="H202" i="2"/>
  <c r="I202" i="2"/>
  <c r="J202" i="2"/>
  <c r="K202" i="2"/>
  <c r="H203" i="2"/>
  <c r="I203" i="2"/>
  <c r="J203" i="2"/>
  <c r="K203" i="2"/>
  <c r="H204" i="2"/>
  <c r="I204" i="2"/>
  <c r="J204" i="2"/>
  <c r="K204" i="2"/>
  <c r="H205" i="2"/>
  <c r="I205" i="2"/>
  <c r="J205" i="2"/>
  <c r="K205" i="2"/>
  <c r="L223" i="2" s="1"/>
  <c r="H206" i="2"/>
  <c r="I206" i="2"/>
  <c r="J206" i="2"/>
  <c r="K206" i="2"/>
  <c r="H207" i="2"/>
  <c r="I207" i="2"/>
  <c r="J207" i="2"/>
  <c r="K207" i="2"/>
  <c r="H208" i="2"/>
  <c r="I208" i="2"/>
  <c r="J208" i="2"/>
  <c r="K208" i="2"/>
  <c r="L225" i="2" s="1"/>
  <c r="H209" i="2"/>
  <c r="I209" i="2"/>
  <c r="J209" i="2"/>
  <c r="K209" i="2"/>
  <c r="L222" i="2" s="1"/>
  <c r="H210" i="2"/>
  <c r="I210" i="2"/>
  <c r="J210" i="2"/>
  <c r="K210" i="2"/>
  <c r="H211" i="2"/>
  <c r="I211" i="2"/>
  <c r="J211" i="2"/>
  <c r="K211" i="2"/>
  <c r="H212" i="2"/>
  <c r="I212" i="2"/>
  <c r="J212" i="2"/>
  <c r="K212" i="2"/>
  <c r="L212" i="2"/>
  <c r="H213" i="2"/>
  <c r="I213" i="2"/>
  <c r="J213" i="2"/>
  <c r="K213" i="2"/>
  <c r="L231" i="2" s="1"/>
  <c r="H214" i="2"/>
  <c r="I214" i="2"/>
  <c r="J214" i="2"/>
  <c r="K214" i="2"/>
  <c r="H215" i="2"/>
  <c r="I215" i="2"/>
  <c r="J215" i="2"/>
  <c r="K215" i="2"/>
  <c r="H216" i="2"/>
  <c r="I216" i="2"/>
  <c r="J216" i="2"/>
  <c r="K216" i="2"/>
  <c r="L233" i="2" s="1"/>
  <c r="H217" i="2"/>
  <c r="I217" i="2"/>
  <c r="J217" i="2"/>
  <c r="K217" i="2"/>
  <c r="L230" i="2" s="1"/>
  <c r="H218" i="2"/>
  <c r="I218" i="2"/>
  <c r="J218" i="2"/>
  <c r="K218" i="2"/>
  <c r="H219" i="2"/>
  <c r="I219" i="2"/>
  <c r="J219" i="2"/>
  <c r="K219" i="2"/>
  <c r="H220" i="2"/>
  <c r="I220" i="2"/>
  <c r="J220" i="2"/>
  <c r="K220" i="2"/>
  <c r="L220" i="2"/>
  <c r="H221" i="2"/>
  <c r="I221" i="2"/>
  <c r="J221" i="2"/>
  <c r="K221" i="2"/>
  <c r="L239" i="2" s="1"/>
  <c r="H222" i="2"/>
  <c r="I222" i="2"/>
  <c r="J222" i="2"/>
  <c r="K222" i="2"/>
  <c r="H223" i="2"/>
  <c r="I223" i="2"/>
  <c r="J223" i="2"/>
  <c r="K223" i="2"/>
  <c r="H224" i="2"/>
  <c r="I224" i="2"/>
  <c r="J224" i="2"/>
  <c r="K224" i="2"/>
  <c r="L241" i="2" s="1"/>
  <c r="H225" i="2"/>
  <c r="I225" i="2"/>
  <c r="J225" i="2"/>
  <c r="K225" i="2"/>
  <c r="L238" i="2" s="1"/>
  <c r="H226" i="2"/>
  <c r="I226" i="2"/>
  <c r="J226" i="2"/>
  <c r="K226" i="2"/>
  <c r="H227" i="2"/>
  <c r="I227" i="2"/>
  <c r="J227" i="2"/>
  <c r="K227" i="2"/>
  <c r="H228" i="2"/>
  <c r="I228" i="2"/>
  <c r="J228" i="2"/>
  <c r="K228" i="2"/>
  <c r="H229" i="2"/>
  <c r="I229" i="2"/>
  <c r="J229" i="2"/>
  <c r="K229" i="2"/>
  <c r="L247" i="2" s="1"/>
  <c r="H230" i="2"/>
  <c r="I230" i="2"/>
  <c r="J230" i="2"/>
  <c r="K230" i="2"/>
  <c r="H231" i="2"/>
  <c r="I231" i="2"/>
  <c r="J231" i="2"/>
  <c r="K231" i="2"/>
  <c r="H232" i="2"/>
  <c r="I232" i="2"/>
  <c r="J232" i="2"/>
  <c r="K232" i="2"/>
  <c r="L249" i="2" s="1"/>
  <c r="H233" i="2"/>
  <c r="I233" i="2"/>
  <c r="J233" i="2"/>
  <c r="K233" i="2"/>
  <c r="L246" i="2" s="1"/>
  <c r="H234" i="2"/>
  <c r="I234" i="2"/>
  <c r="J234" i="2"/>
  <c r="K234" i="2"/>
  <c r="H235" i="2"/>
  <c r="I235" i="2"/>
  <c r="J235" i="2"/>
  <c r="K235" i="2"/>
  <c r="H236" i="2"/>
  <c r="I236" i="2"/>
  <c r="J236" i="2"/>
  <c r="K236" i="2"/>
  <c r="L236" i="2"/>
  <c r="H237" i="2"/>
  <c r="I237" i="2"/>
  <c r="J237" i="2"/>
  <c r="K237" i="2"/>
  <c r="L255" i="2" s="1"/>
  <c r="H238" i="2"/>
  <c r="I238" i="2"/>
  <c r="J238" i="2"/>
  <c r="K238" i="2"/>
  <c r="H239" i="2"/>
  <c r="I239" i="2"/>
  <c r="J239" i="2"/>
  <c r="K239" i="2"/>
  <c r="H240" i="2"/>
  <c r="I240" i="2"/>
  <c r="J240" i="2"/>
  <c r="K240" i="2"/>
  <c r="L257" i="2" s="1"/>
  <c r="H241" i="2"/>
  <c r="I241" i="2"/>
  <c r="J241" i="2"/>
  <c r="K241" i="2"/>
  <c r="L254" i="2" s="1"/>
  <c r="H242" i="2"/>
  <c r="I242" i="2"/>
  <c r="J242" i="2"/>
  <c r="K242" i="2"/>
  <c r="H243" i="2"/>
  <c r="I243" i="2"/>
  <c r="J243" i="2"/>
  <c r="K243" i="2"/>
  <c r="H244" i="2"/>
  <c r="I244" i="2"/>
  <c r="J244" i="2"/>
  <c r="K244" i="2"/>
  <c r="L244" i="2"/>
  <c r="H245" i="2"/>
  <c r="I245" i="2"/>
  <c r="J245" i="2"/>
  <c r="K245" i="2"/>
  <c r="L263" i="2" s="1"/>
  <c r="H246" i="2"/>
  <c r="I246" i="2"/>
  <c r="J246" i="2"/>
  <c r="K246" i="2"/>
  <c r="H247" i="2"/>
  <c r="I247" i="2"/>
  <c r="J247" i="2"/>
  <c r="K247" i="2"/>
  <c r="H248" i="2"/>
  <c r="I248" i="2"/>
  <c r="J248" i="2"/>
  <c r="K248" i="2"/>
  <c r="L265" i="2" s="1"/>
  <c r="H249" i="2"/>
  <c r="I249" i="2"/>
  <c r="J249" i="2"/>
  <c r="K249" i="2"/>
  <c r="L262" i="2" s="1"/>
  <c r="H250" i="2"/>
  <c r="I250" i="2"/>
  <c r="J250" i="2"/>
  <c r="K250" i="2"/>
  <c r="H251" i="2"/>
  <c r="I251" i="2"/>
  <c r="J251" i="2"/>
  <c r="K251" i="2"/>
  <c r="H252" i="2"/>
  <c r="I252" i="2"/>
  <c r="J252" i="2"/>
  <c r="K252" i="2"/>
  <c r="L252" i="2"/>
  <c r="H253" i="2"/>
  <c r="I253" i="2"/>
  <c r="J253" i="2"/>
  <c r="K253" i="2"/>
  <c r="L271" i="2" s="1"/>
  <c r="H254" i="2"/>
  <c r="I254" i="2"/>
  <c r="J254" i="2"/>
  <c r="K254" i="2"/>
  <c r="H255" i="2"/>
  <c r="I255" i="2"/>
  <c r="J255" i="2"/>
  <c r="K255" i="2"/>
  <c r="H256" i="2"/>
  <c r="I256" i="2"/>
  <c r="J256" i="2"/>
  <c r="K256" i="2"/>
  <c r="L273" i="2" s="1"/>
  <c r="H257" i="2"/>
  <c r="I257" i="2"/>
  <c r="J257" i="2"/>
  <c r="K257" i="2"/>
  <c r="L270" i="2" s="1"/>
  <c r="H258" i="2"/>
  <c r="I258" i="2"/>
  <c r="J258" i="2"/>
  <c r="K258" i="2"/>
  <c r="H259" i="2"/>
  <c r="I259" i="2"/>
  <c r="J259" i="2"/>
  <c r="K259" i="2"/>
  <c r="H260" i="2"/>
  <c r="I260" i="2"/>
  <c r="J260" i="2"/>
  <c r="K260" i="2"/>
  <c r="L260" i="2"/>
  <c r="H261" i="2"/>
  <c r="I261" i="2"/>
  <c r="J261" i="2"/>
  <c r="K261" i="2"/>
  <c r="L279" i="2" s="1"/>
  <c r="H262" i="2"/>
  <c r="I262" i="2"/>
  <c r="J262" i="2"/>
  <c r="K262" i="2"/>
  <c r="H263" i="2"/>
  <c r="I263" i="2"/>
  <c r="J263" i="2"/>
  <c r="K263" i="2"/>
  <c r="H264" i="2"/>
  <c r="I264" i="2"/>
  <c r="J264" i="2"/>
  <c r="K264" i="2"/>
  <c r="L281" i="2" s="1"/>
  <c r="H265" i="2"/>
  <c r="I265" i="2"/>
  <c r="J265" i="2"/>
  <c r="K265" i="2"/>
  <c r="L278" i="2" s="1"/>
  <c r="H266" i="2"/>
  <c r="I266" i="2"/>
  <c r="J266" i="2"/>
  <c r="K266" i="2"/>
  <c r="H267" i="2"/>
  <c r="I267" i="2"/>
  <c r="J267" i="2"/>
  <c r="K267" i="2"/>
  <c r="H268" i="2"/>
  <c r="I268" i="2"/>
  <c r="J268" i="2"/>
  <c r="K268" i="2"/>
  <c r="L268" i="2"/>
  <c r="H269" i="2"/>
  <c r="I269" i="2"/>
  <c r="J269" i="2"/>
  <c r="K269" i="2"/>
  <c r="L287" i="2" s="1"/>
  <c r="H270" i="2"/>
  <c r="I270" i="2"/>
  <c r="J270" i="2"/>
  <c r="K270" i="2"/>
  <c r="H271" i="2"/>
  <c r="I271" i="2"/>
  <c r="J271" i="2"/>
  <c r="K271" i="2"/>
  <c r="H272" i="2"/>
  <c r="I272" i="2"/>
  <c r="J272" i="2"/>
  <c r="K272" i="2"/>
  <c r="L289" i="2" s="1"/>
  <c r="H273" i="2"/>
  <c r="I273" i="2"/>
  <c r="J273" i="2"/>
  <c r="K273" i="2"/>
  <c r="L286" i="2" s="1"/>
  <c r="H274" i="2"/>
  <c r="I274" i="2"/>
  <c r="J274" i="2"/>
  <c r="K274" i="2"/>
  <c r="H275" i="2"/>
  <c r="I275" i="2"/>
  <c r="J275" i="2"/>
  <c r="K275" i="2"/>
  <c r="H276" i="2"/>
  <c r="I276" i="2"/>
  <c r="J276" i="2"/>
  <c r="K276" i="2"/>
  <c r="H277" i="2"/>
  <c r="I277" i="2"/>
  <c r="J277" i="2"/>
  <c r="K277" i="2"/>
  <c r="L295" i="2" s="1"/>
  <c r="H278" i="2"/>
  <c r="I278" i="2"/>
  <c r="J278" i="2"/>
  <c r="K278" i="2"/>
  <c r="H279" i="2"/>
  <c r="I279" i="2"/>
  <c r="J279" i="2"/>
  <c r="K279" i="2"/>
  <c r="H280" i="2"/>
  <c r="I280" i="2"/>
  <c r="J280" i="2"/>
  <c r="K280" i="2"/>
  <c r="L297" i="2" s="1"/>
  <c r="H281" i="2"/>
  <c r="I281" i="2"/>
  <c r="J281" i="2"/>
  <c r="K281" i="2"/>
  <c r="L294" i="2" s="1"/>
  <c r="H282" i="2"/>
  <c r="I282" i="2"/>
  <c r="J282" i="2"/>
  <c r="K282" i="2"/>
  <c r="H283" i="2"/>
  <c r="I283" i="2"/>
  <c r="J283" i="2"/>
  <c r="K283" i="2"/>
  <c r="H284" i="2"/>
  <c r="I284" i="2"/>
  <c r="J284" i="2"/>
  <c r="K284" i="2"/>
  <c r="L284" i="2"/>
  <c r="H285" i="2"/>
  <c r="I285" i="2"/>
  <c r="J285" i="2"/>
  <c r="K285" i="2"/>
  <c r="L303" i="2" s="1"/>
  <c r="H286" i="2"/>
  <c r="I286" i="2"/>
  <c r="J286" i="2"/>
  <c r="K286" i="2"/>
  <c r="H287" i="2"/>
  <c r="I287" i="2"/>
  <c r="J287" i="2"/>
  <c r="K287" i="2"/>
  <c r="H288" i="2"/>
  <c r="I288" i="2"/>
  <c r="J288" i="2"/>
  <c r="K288" i="2"/>
  <c r="L305" i="2" s="1"/>
  <c r="H289" i="2"/>
  <c r="I289" i="2"/>
  <c r="J289" i="2"/>
  <c r="K289" i="2"/>
  <c r="L302" i="2" s="1"/>
  <c r="H290" i="2"/>
  <c r="I290" i="2"/>
  <c r="J290" i="2"/>
  <c r="K290" i="2"/>
  <c r="H291" i="2"/>
  <c r="I291" i="2"/>
  <c r="J291" i="2"/>
  <c r="K291" i="2"/>
  <c r="H292" i="2"/>
  <c r="I292" i="2"/>
  <c r="J292" i="2"/>
  <c r="K292" i="2"/>
  <c r="L292" i="2"/>
  <c r="H293" i="2"/>
  <c r="I293" i="2"/>
  <c r="J293" i="2"/>
  <c r="K293" i="2"/>
  <c r="L311" i="2" s="1"/>
  <c r="H294" i="2"/>
  <c r="I294" i="2"/>
  <c r="J294" i="2"/>
  <c r="K294" i="2"/>
  <c r="H295" i="2"/>
  <c r="I295" i="2"/>
  <c r="J295" i="2"/>
  <c r="K295" i="2"/>
  <c r="H296" i="2"/>
  <c r="I296" i="2"/>
  <c r="J296" i="2"/>
  <c r="K296" i="2"/>
  <c r="L313" i="2" s="1"/>
  <c r="H297" i="2"/>
  <c r="I297" i="2"/>
  <c r="J297" i="2"/>
  <c r="K297" i="2"/>
  <c r="L310" i="2" s="1"/>
  <c r="H298" i="2"/>
  <c r="I298" i="2"/>
  <c r="J298" i="2"/>
  <c r="K298" i="2"/>
  <c r="H299" i="2"/>
  <c r="I299" i="2"/>
  <c r="J299" i="2"/>
  <c r="K299" i="2"/>
  <c r="H300" i="2"/>
  <c r="I300" i="2"/>
  <c r="J300" i="2"/>
  <c r="K300" i="2"/>
  <c r="L300" i="2"/>
  <c r="H301" i="2"/>
  <c r="I301" i="2"/>
  <c r="J301" i="2"/>
  <c r="K301" i="2"/>
  <c r="L319" i="2" s="1"/>
  <c r="H302" i="2"/>
  <c r="I302" i="2"/>
  <c r="J302" i="2"/>
  <c r="K302" i="2"/>
  <c r="H303" i="2"/>
  <c r="I303" i="2"/>
  <c r="J303" i="2"/>
  <c r="K303" i="2"/>
  <c r="H304" i="2"/>
  <c r="I304" i="2"/>
  <c r="J304" i="2"/>
  <c r="K304" i="2"/>
  <c r="L321" i="2" s="1"/>
  <c r="H305" i="2"/>
  <c r="I305" i="2"/>
  <c r="J305" i="2"/>
  <c r="K305" i="2"/>
  <c r="L318" i="2" s="1"/>
  <c r="H306" i="2"/>
  <c r="I306" i="2"/>
  <c r="J306" i="2"/>
  <c r="K306" i="2"/>
  <c r="H307" i="2"/>
  <c r="I307" i="2"/>
  <c r="J307" i="2"/>
  <c r="K307" i="2"/>
  <c r="H308" i="2"/>
  <c r="I308" i="2"/>
  <c r="J308" i="2"/>
  <c r="K308" i="2"/>
  <c r="L308" i="2"/>
  <c r="H309" i="2"/>
  <c r="I309" i="2"/>
  <c r="J309" i="2"/>
  <c r="K309" i="2"/>
  <c r="L327" i="2" s="1"/>
  <c r="H310" i="2"/>
  <c r="I310" i="2"/>
  <c r="J310" i="2"/>
  <c r="K310" i="2"/>
  <c r="H311" i="2"/>
  <c r="I311" i="2"/>
  <c r="J311" i="2"/>
  <c r="K311" i="2"/>
  <c r="H312" i="2"/>
  <c r="I312" i="2"/>
  <c r="J312" i="2"/>
  <c r="K312" i="2"/>
  <c r="L329" i="2" s="1"/>
  <c r="H313" i="2"/>
  <c r="I313" i="2"/>
  <c r="J313" i="2"/>
  <c r="K313" i="2"/>
  <c r="L326" i="2" s="1"/>
  <c r="H314" i="2"/>
  <c r="I314" i="2"/>
  <c r="J314" i="2"/>
  <c r="K314" i="2"/>
  <c r="H315" i="2"/>
  <c r="I315" i="2"/>
  <c r="J315" i="2"/>
  <c r="K315" i="2"/>
  <c r="H316" i="2"/>
  <c r="I316" i="2"/>
  <c r="J316" i="2"/>
  <c r="K316" i="2"/>
  <c r="L316" i="2"/>
  <c r="H317" i="2"/>
  <c r="I317" i="2"/>
  <c r="J317" i="2"/>
  <c r="K317" i="2"/>
  <c r="L335" i="2" s="1"/>
  <c r="H318" i="2"/>
  <c r="I318" i="2"/>
  <c r="J318" i="2"/>
  <c r="K318" i="2"/>
  <c r="H319" i="2"/>
  <c r="I319" i="2"/>
  <c r="J319" i="2"/>
  <c r="K319" i="2"/>
  <c r="H320" i="2"/>
  <c r="I320" i="2"/>
  <c r="J320" i="2"/>
  <c r="K320" i="2"/>
  <c r="L337" i="2" s="1"/>
  <c r="H321" i="2"/>
  <c r="I321" i="2"/>
  <c r="J321" i="2"/>
  <c r="K321" i="2"/>
  <c r="L334" i="2" s="1"/>
  <c r="H322" i="2"/>
  <c r="I322" i="2"/>
  <c r="J322" i="2"/>
  <c r="K322" i="2"/>
  <c r="H323" i="2"/>
  <c r="I323" i="2"/>
  <c r="J323" i="2"/>
  <c r="K323" i="2"/>
  <c r="H324" i="2"/>
  <c r="I324" i="2"/>
  <c r="J324" i="2"/>
  <c r="K324" i="2"/>
  <c r="L324" i="2"/>
  <c r="H325" i="2"/>
  <c r="I325" i="2"/>
  <c r="J325" i="2"/>
  <c r="K325" i="2"/>
  <c r="L343" i="2" s="1"/>
  <c r="H326" i="2"/>
  <c r="I326" i="2"/>
  <c r="J326" i="2"/>
  <c r="K326" i="2"/>
  <c r="H327" i="2"/>
  <c r="I327" i="2"/>
  <c r="J327" i="2"/>
  <c r="K327" i="2"/>
  <c r="H328" i="2"/>
  <c r="I328" i="2"/>
  <c r="J328" i="2"/>
  <c r="K328" i="2"/>
  <c r="L345" i="2" s="1"/>
  <c r="H329" i="2"/>
  <c r="I329" i="2"/>
  <c r="J329" i="2"/>
  <c r="K329" i="2"/>
  <c r="L342" i="2" s="1"/>
  <c r="H330" i="2"/>
  <c r="I330" i="2"/>
  <c r="J330" i="2"/>
  <c r="K330" i="2"/>
  <c r="H331" i="2"/>
  <c r="I331" i="2"/>
  <c r="J331" i="2"/>
  <c r="K331" i="2"/>
  <c r="H332" i="2"/>
  <c r="I332" i="2"/>
  <c r="J332" i="2"/>
  <c r="K332" i="2"/>
  <c r="L332" i="2"/>
  <c r="H333" i="2"/>
  <c r="I333" i="2"/>
  <c r="J333" i="2"/>
  <c r="K333" i="2"/>
  <c r="L351" i="2" s="1"/>
  <c r="H334" i="2"/>
  <c r="I334" i="2"/>
  <c r="J334" i="2"/>
  <c r="K334" i="2"/>
  <c r="H335" i="2"/>
  <c r="I335" i="2"/>
  <c r="J335" i="2"/>
  <c r="K335" i="2"/>
  <c r="H336" i="2"/>
  <c r="I336" i="2"/>
  <c r="J336" i="2"/>
  <c r="K336" i="2"/>
  <c r="L353" i="2" s="1"/>
  <c r="H337" i="2"/>
  <c r="I337" i="2"/>
  <c r="J337" i="2"/>
  <c r="K337" i="2"/>
  <c r="L349" i="2" s="1"/>
  <c r="H338" i="2"/>
  <c r="I338" i="2"/>
  <c r="J338" i="2"/>
  <c r="K338" i="2"/>
  <c r="H339" i="2"/>
  <c r="I339" i="2"/>
  <c r="J339" i="2"/>
  <c r="K339" i="2"/>
  <c r="H340" i="2"/>
  <c r="I340" i="2"/>
  <c r="J340" i="2"/>
  <c r="K340" i="2"/>
  <c r="L340" i="2"/>
  <c r="H341" i="2"/>
  <c r="I341" i="2"/>
  <c r="J341" i="2"/>
  <c r="K341" i="2"/>
  <c r="L359" i="2" s="1"/>
  <c r="H342" i="2"/>
  <c r="I342" i="2"/>
  <c r="J342" i="2"/>
  <c r="K342" i="2"/>
  <c r="H343" i="2"/>
  <c r="I343" i="2"/>
  <c r="J343" i="2"/>
  <c r="K343" i="2"/>
  <c r="H344" i="2"/>
  <c r="I344" i="2"/>
  <c r="J344" i="2"/>
  <c r="K344" i="2"/>
  <c r="L361" i="2" s="1"/>
  <c r="H345" i="2"/>
  <c r="I345" i="2"/>
  <c r="J345" i="2"/>
  <c r="K345" i="2"/>
  <c r="L357" i="2" s="1"/>
  <c r="H346" i="2"/>
  <c r="I346" i="2"/>
  <c r="J346" i="2"/>
  <c r="K346" i="2"/>
  <c r="H347" i="2"/>
  <c r="I347" i="2"/>
  <c r="J347" i="2"/>
  <c r="K347" i="2"/>
  <c r="H348" i="2"/>
  <c r="I348" i="2"/>
  <c r="J348" i="2"/>
  <c r="K348" i="2"/>
  <c r="L348" i="2"/>
  <c r="H349" i="2"/>
  <c r="I349" i="2"/>
  <c r="J349" i="2"/>
  <c r="K349" i="2"/>
  <c r="L367" i="2" s="1"/>
  <c r="H350" i="2"/>
  <c r="I350" i="2"/>
  <c r="J350" i="2"/>
  <c r="K350" i="2"/>
  <c r="H351" i="2"/>
  <c r="I351" i="2"/>
  <c r="J351" i="2"/>
  <c r="K351" i="2"/>
  <c r="H352" i="2"/>
  <c r="I352" i="2"/>
  <c r="J352" i="2"/>
  <c r="K352" i="2"/>
  <c r="L369" i="2" s="1"/>
  <c r="H353" i="2"/>
  <c r="I353" i="2"/>
  <c r="J353" i="2"/>
  <c r="K353" i="2"/>
  <c r="L366" i="2" s="1"/>
  <c r="H354" i="2"/>
  <c r="I354" i="2"/>
  <c r="J354" i="2"/>
  <c r="K354" i="2"/>
  <c r="H355" i="2"/>
  <c r="I355" i="2"/>
  <c r="J355" i="2"/>
  <c r="K355" i="2"/>
  <c r="H356" i="2"/>
  <c r="I356" i="2"/>
  <c r="J356" i="2"/>
  <c r="K356" i="2"/>
  <c r="L356" i="2"/>
  <c r="H357" i="2"/>
  <c r="I357" i="2"/>
  <c r="J357" i="2"/>
  <c r="K357" i="2"/>
  <c r="L375" i="2" s="1"/>
  <c r="H358" i="2"/>
  <c r="I358" i="2"/>
  <c r="J358" i="2"/>
  <c r="K358" i="2"/>
  <c r="H359" i="2"/>
  <c r="I359" i="2"/>
  <c r="J359" i="2"/>
  <c r="K359" i="2"/>
  <c r="H360" i="2"/>
  <c r="I360" i="2"/>
  <c r="J360" i="2"/>
  <c r="K360" i="2"/>
  <c r="L377" i="2" s="1"/>
  <c r="H361" i="2"/>
  <c r="I361" i="2"/>
  <c r="J361" i="2"/>
  <c r="K361" i="2"/>
  <c r="L374" i="2" s="1"/>
  <c r="H362" i="2"/>
  <c r="I362" i="2"/>
  <c r="J362" i="2"/>
  <c r="K362" i="2"/>
  <c r="H363" i="2"/>
  <c r="I363" i="2"/>
  <c r="J363" i="2"/>
  <c r="K363" i="2"/>
  <c r="H364" i="2"/>
  <c r="I364" i="2"/>
  <c r="J364" i="2"/>
  <c r="K364" i="2"/>
  <c r="L364" i="2"/>
  <c r="H365" i="2"/>
  <c r="I365" i="2"/>
  <c r="J365" i="2"/>
  <c r="K365" i="2"/>
  <c r="L383" i="2" s="1"/>
  <c r="H366" i="2"/>
  <c r="I366" i="2"/>
  <c r="J366" i="2"/>
  <c r="K366" i="2"/>
  <c r="H367" i="2"/>
  <c r="I367" i="2"/>
  <c r="J367" i="2"/>
  <c r="K367" i="2"/>
  <c r="H368" i="2"/>
  <c r="I368" i="2"/>
  <c r="J368" i="2"/>
  <c r="K368" i="2"/>
  <c r="L385" i="2" s="1"/>
  <c r="H369" i="2"/>
  <c r="I369" i="2"/>
  <c r="J369" i="2"/>
  <c r="K369" i="2"/>
  <c r="L382" i="2" s="1"/>
  <c r="H370" i="2"/>
  <c r="I370" i="2"/>
  <c r="J370" i="2"/>
  <c r="K370" i="2"/>
  <c r="H371" i="2"/>
  <c r="I371" i="2"/>
  <c r="J371" i="2"/>
  <c r="K371" i="2"/>
  <c r="H372" i="2"/>
  <c r="I372" i="2"/>
  <c r="J372" i="2"/>
  <c r="K372" i="2"/>
  <c r="H373" i="2"/>
  <c r="I373" i="2"/>
  <c r="J373" i="2"/>
  <c r="K373" i="2"/>
  <c r="L391" i="2" s="1"/>
  <c r="H374" i="2"/>
  <c r="I374" i="2"/>
  <c r="J374" i="2"/>
  <c r="K374" i="2"/>
  <c r="H375" i="2"/>
  <c r="I375" i="2"/>
  <c r="J375" i="2"/>
  <c r="K375" i="2"/>
  <c r="H376" i="2"/>
  <c r="I376" i="2"/>
  <c r="J376" i="2"/>
  <c r="K376" i="2"/>
  <c r="L393" i="2" s="1"/>
  <c r="H377" i="2"/>
  <c r="I377" i="2"/>
  <c r="J377" i="2"/>
  <c r="K377" i="2"/>
  <c r="L390" i="2" s="1"/>
  <c r="H378" i="2"/>
  <c r="I378" i="2"/>
  <c r="J378" i="2"/>
  <c r="K378" i="2"/>
  <c r="H379" i="2"/>
  <c r="I379" i="2"/>
  <c r="J379" i="2"/>
  <c r="K379" i="2"/>
  <c r="H380" i="2"/>
  <c r="I380" i="2"/>
  <c r="J380" i="2"/>
  <c r="K380" i="2"/>
  <c r="H381" i="2"/>
  <c r="I381" i="2"/>
  <c r="J381" i="2"/>
  <c r="K381" i="2"/>
  <c r="L399" i="2" s="1"/>
  <c r="H382" i="2"/>
  <c r="I382" i="2"/>
  <c r="J382" i="2"/>
  <c r="K382" i="2"/>
  <c r="H383" i="2"/>
  <c r="I383" i="2"/>
  <c r="J383" i="2"/>
  <c r="K383" i="2"/>
  <c r="H384" i="2"/>
  <c r="I384" i="2"/>
  <c r="J384" i="2"/>
  <c r="K384" i="2"/>
  <c r="L401" i="2" s="1"/>
  <c r="H385" i="2"/>
  <c r="I385" i="2"/>
  <c r="J385" i="2"/>
  <c r="K385" i="2"/>
  <c r="L398" i="2" s="1"/>
  <c r="H386" i="2"/>
  <c r="I386" i="2"/>
  <c r="J386" i="2"/>
  <c r="K386" i="2"/>
  <c r="H387" i="2"/>
  <c r="I387" i="2"/>
  <c r="J387" i="2"/>
  <c r="K387" i="2"/>
  <c r="H388" i="2"/>
  <c r="I388" i="2"/>
  <c r="J388" i="2"/>
  <c r="K388" i="2"/>
  <c r="L388" i="2"/>
  <c r="H389" i="2"/>
  <c r="I389" i="2"/>
  <c r="J389" i="2"/>
  <c r="K389" i="2"/>
  <c r="L407" i="2" s="1"/>
  <c r="H390" i="2"/>
  <c r="I390" i="2"/>
  <c r="J390" i="2"/>
  <c r="K390" i="2"/>
  <c r="H391" i="2"/>
  <c r="I391" i="2"/>
  <c r="J391" i="2"/>
  <c r="K391" i="2"/>
  <c r="H392" i="2"/>
  <c r="I392" i="2"/>
  <c r="J392" i="2"/>
  <c r="K392" i="2"/>
  <c r="L409" i="2" s="1"/>
  <c r="H393" i="2"/>
  <c r="I393" i="2"/>
  <c r="J393" i="2"/>
  <c r="K393" i="2"/>
  <c r="L405" i="2" s="1"/>
  <c r="H394" i="2"/>
  <c r="I394" i="2"/>
  <c r="J394" i="2"/>
  <c r="K394" i="2"/>
  <c r="H395" i="2"/>
  <c r="I395" i="2"/>
  <c r="J395" i="2"/>
  <c r="K395" i="2"/>
  <c r="H396" i="2"/>
  <c r="I396" i="2"/>
  <c r="J396" i="2"/>
  <c r="K396" i="2"/>
  <c r="L396" i="2"/>
  <c r="H397" i="2"/>
  <c r="I397" i="2"/>
  <c r="J397" i="2"/>
  <c r="K397" i="2"/>
  <c r="L415" i="2" s="1"/>
  <c r="H398" i="2"/>
  <c r="I398" i="2"/>
  <c r="J398" i="2"/>
  <c r="K398" i="2"/>
  <c r="H399" i="2"/>
  <c r="I399" i="2"/>
  <c r="J399" i="2"/>
  <c r="K399" i="2"/>
  <c r="H400" i="2"/>
  <c r="I400" i="2"/>
  <c r="J400" i="2"/>
  <c r="K400" i="2"/>
  <c r="L417" i="2" s="1"/>
  <c r="H401" i="2"/>
  <c r="I401" i="2"/>
  <c r="J401" i="2"/>
  <c r="K401" i="2"/>
  <c r="L414" i="2" s="1"/>
  <c r="H402" i="2"/>
  <c r="I402" i="2"/>
  <c r="J402" i="2"/>
  <c r="K402" i="2"/>
  <c r="H403" i="2"/>
  <c r="I403" i="2"/>
  <c r="J403" i="2"/>
  <c r="K403" i="2"/>
  <c r="H404" i="2"/>
  <c r="I404" i="2"/>
  <c r="J404" i="2"/>
  <c r="K404" i="2"/>
  <c r="L404" i="2"/>
  <c r="H405" i="2"/>
  <c r="I405" i="2"/>
  <c r="J405" i="2"/>
  <c r="K405" i="2"/>
  <c r="H406" i="2"/>
  <c r="I406" i="2"/>
  <c r="J406" i="2"/>
  <c r="K406" i="2"/>
  <c r="H407" i="2"/>
  <c r="I407" i="2"/>
  <c r="J407" i="2"/>
  <c r="K407" i="2"/>
  <c r="H408" i="2"/>
  <c r="I408" i="2"/>
  <c r="J408" i="2"/>
  <c r="K408" i="2"/>
  <c r="H409" i="2"/>
  <c r="I409" i="2"/>
  <c r="J409" i="2"/>
  <c r="K409" i="2"/>
  <c r="L412" i="2" s="1"/>
  <c r="H410" i="2"/>
  <c r="I410" i="2"/>
  <c r="J410" i="2"/>
  <c r="K410" i="2"/>
  <c r="H411" i="2"/>
  <c r="I411" i="2"/>
  <c r="J411" i="2"/>
  <c r="K411" i="2"/>
  <c r="H412" i="2"/>
  <c r="I412" i="2"/>
  <c r="J412" i="2"/>
  <c r="K412" i="2"/>
  <c r="H413" i="2"/>
  <c r="I413" i="2"/>
  <c r="J413" i="2"/>
  <c r="K413" i="2"/>
  <c r="H414" i="2"/>
  <c r="I414" i="2"/>
  <c r="J414" i="2"/>
  <c r="K414" i="2"/>
  <c r="H415" i="2"/>
  <c r="I415" i="2"/>
  <c r="J415" i="2"/>
  <c r="K415" i="2"/>
  <c r="H416" i="2"/>
  <c r="I416" i="2"/>
  <c r="J416" i="2"/>
  <c r="K416" i="2"/>
  <c r="H417" i="2"/>
  <c r="I417" i="2"/>
  <c r="J417" i="2"/>
  <c r="K417" i="2"/>
  <c r="H418" i="2"/>
  <c r="I418" i="2"/>
  <c r="J418" i="2"/>
  <c r="K418" i="2"/>
  <c r="A1" i="1" a="1"/>
  <c r="L380" i="2" l="1"/>
  <c r="L228" i="2"/>
  <c r="L196" i="2"/>
  <c r="L63" i="2"/>
  <c r="L55" i="2"/>
  <c r="L204" i="2"/>
  <c r="L188" i="2"/>
  <c r="L418" i="2"/>
  <c r="L410" i="2"/>
  <c r="L402" i="2"/>
  <c r="L394" i="2"/>
  <c r="L386" i="2"/>
  <c r="L378" i="2"/>
  <c r="L370" i="2"/>
  <c r="L362" i="2"/>
  <c r="L354" i="2"/>
  <c r="L346" i="2"/>
  <c r="L338" i="2"/>
  <c r="L330" i="2"/>
  <c r="L322" i="2"/>
  <c r="L314" i="2"/>
  <c r="L306" i="2"/>
  <c r="L298" i="2"/>
  <c r="L290" i="2"/>
  <c r="L282" i="2"/>
  <c r="L274" i="2"/>
  <c r="L266" i="2"/>
  <c r="L258" i="2"/>
  <c r="L250" i="2"/>
  <c r="L242" i="2"/>
  <c r="L234" i="2"/>
  <c r="L226" i="2"/>
  <c r="L218" i="2"/>
  <c r="L210" i="2"/>
  <c r="L202" i="2"/>
  <c r="L194" i="2"/>
  <c r="L186" i="2"/>
  <c r="L178" i="2"/>
  <c r="L170" i="2"/>
  <c r="L162" i="2"/>
  <c r="L154" i="2"/>
  <c r="L146" i="2"/>
  <c r="L138" i="2"/>
  <c r="L130" i="2"/>
  <c r="L122" i="2"/>
  <c r="L114" i="2"/>
  <c r="L106" i="2"/>
  <c r="L98" i="2"/>
  <c r="L90" i="2"/>
  <c r="L82" i="2"/>
  <c r="L66" i="2"/>
  <c r="L58" i="2"/>
  <c r="L36" i="2"/>
  <c r="L32" i="2"/>
  <c r="L28" i="2"/>
  <c r="L24" i="2"/>
  <c r="L309" i="2"/>
  <c r="L293" i="2"/>
  <c r="L285" i="2"/>
  <c r="L277" i="2"/>
  <c r="L269" i="2"/>
  <c r="L261" i="2"/>
  <c r="L253" i="2"/>
  <c r="L245" i="2"/>
  <c r="L237" i="2"/>
  <c r="L229" i="2"/>
  <c r="L221" i="2"/>
  <c r="L213" i="2"/>
  <c r="L205" i="2"/>
  <c r="L197" i="2"/>
  <c r="L189" i="2"/>
  <c r="L181" i="2"/>
  <c r="L173" i="2"/>
  <c r="L165" i="2"/>
  <c r="L157" i="2"/>
  <c r="L149" i="2"/>
  <c r="L141" i="2"/>
  <c r="L133" i="2"/>
  <c r="L125" i="2"/>
  <c r="L117" i="2"/>
  <c r="L109" i="2"/>
  <c r="L101" i="2"/>
  <c r="L93" i="2"/>
  <c r="L85" i="2"/>
  <c r="L77" i="2"/>
  <c r="L69" i="2"/>
  <c r="L61" i="2"/>
  <c r="L53" i="2"/>
  <c r="L372" i="2"/>
  <c r="L276" i="2"/>
  <c r="L381" i="2"/>
  <c r="L341" i="2"/>
  <c r="L333" i="2"/>
  <c r="L325" i="2"/>
  <c r="L317" i="2"/>
  <c r="L408" i="2"/>
  <c r="L400" i="2"/>
  <c r="L392" i="2"/>
  <c r="L376" i="2"/>
  <c r="L368" i="2"/>
  <c r="L360" i="2"/>
  <c r="L352" i="2"/>
  <c r="L344" i="2"/>
  <c r="L336" i="2"/>
  <c r="L328" i="2"/>
  <c r="L320" i="2"/>
  <c r="L312" i="2"/>
  <c r="L304" i="2"/>
  <c r="L296" i="2"/>
  <c r="L288" i="2"/>
  <c r="L280" i="2"/>
  <c r="L272" i="2"/>
  <c r="L264" i="2"/>
  <c r="L256" i="2"/>
  <c r="L248" i="2"/>
  <c r="L240" i="2"/>
  <c r="L232" i="2"/>
  <c r="L224" i="2"/>
  <c r="L216" i="2"/>
  <c r="L208" i="2"/>
  <c r="L200" i="2"/>
  <c r="L192" i="2"/>
  <c r="L184" i="2"/>
  <c r="L176" i="2"/>
  <c r="L168" i="2"/>
  <c r="L160" i="2"/>
  <c r="L152" i="2"/>
  <c r="L144" i="2"/>
  <c r="L136" i="2"/>
  <c r="L128" i="2"/>
  <c r="L120" i="2"/>
  <c r="L112" i="2"/>
  <c r="L104" i="2"/>
  <c r="L96" i="2"/>
  <c r="L88" i="2"/>
  <c r="L80" i="2"/>
  <c r="L72" i="2"/>
  <c r="L64" i="2"/>
  <c r="L56" i="2"/>
  <c r="L397" i="2"/>
  <c r="L389" i="2"/>
  <c r="L301" i="2"/>
  <c r="L416" i="2"/>
  <c r="L384" i="2"/>
  <c r="L411" i="2"/>
  <c r="L403" i="2"/>
  <c r="L395" i="2"/>
  <c r="L387" i="2"/>
  <c r="L379" i="2"/>
  <c r="L371" i="2"/>
  <c r="L363" i="2"/>
  <c r="L355" i="2"/>
  <c r="L347" i="2"/>
  <c r="L339" i="2"/>
  <c r="L331" i="2"/>
  <c r="L323" i="2"/>
  <c r="L315" i="2"/>
  <c r="L307" i="2"/>
  <c r="L299" i="2"/>
  <c r="L291" i="2"/>
  <c r="L283" i="2"/>
  <c r="L275" i="2"/>
  <c r="L267" i="2"/>
  <c r="L259" i="2"/>
  <c r="L251" i="2"/>
  <c r="L243" i="2"/>
  <c r="L235" i="2"/>
  <c r="L227" i="2"/>
  <c r="L219" i="2"/>
  <c r="L211" i="2"/>
  <c r="L203" i="2"/>
  <c r="L195" i="2"/>
  <c r="L187" i="2"/>
  <c r="L179" i="2"/>
  <c r="L171" i="2"/>
  <c r="L163" i="2"/>
  <c r="L155" i="2"/>
  <c r="L147" i="2"/>
  <c r="L139" i="2"/>
  <c r="L131" i="2"/>
  <c r="L123" i="2"/>
  <c r="L115" i="2"/>
  <c r="L107" i="2"/>
  <c r="L99" i="2"/>
  <c r="L91" i="2"/>
  <c r="L83" i="2"/>
  <c r="L75" i="2"/>
  <c r="L67" i="2"/>
  <c r="L59" i="2"/>
  <c r="L51" i="2"/>
  <c r="L413" i="2"/>
  <c r="L373" i="2"/>
  <c r="L365" i="2"/>
  <c r="L406" i="2"/>
  <c r="L358" i="2"/>
  <c r="L350" i="2"/>
  <c r="L70" i="2"/>
  <c r="L62" i="2"/>
  <c r="L35" i="2"/>
  <c r="L31" i="2"/>
  <c r="L27" i="2"/>
  <c r="L23" i="2"/>
  <c r="L65" i="2"/>
  <c r="N22" i="1"/>
  <c r="N30" i="1"/>
  <c r="N38" i="1"/>
  <c r="N46" i="1"/>
  <c r="N54" i="1"/>
  <c r="N62" i="1"/>
  <c r="N70" i="1"/>
  <c r="N78" i="1"/>
  <c r="N86" i="1"/>
  <c r="N94" i="1"/>
  <c r="N102" i="1"/>
  <c r="N110" i="1"/>
  <c r="N118" i="1"/>
  <c r="N126" i="1"/>
  <c r="N134" i="1"/>
  <c r="N142" i="1"/>
  <c r="N150" i="1"/>
  <c r="N158" i="1"/>
  <c r="N166" i="1"/>
  <c r="N174" i="1"/>
  <c r="N182" i="1"/>
  <c r="N190" i="1"/>
  <c r="N198" i="1"/>
  <c r="N206" i="1"/>
  <c r="N214" i="1"/>
  <c r="N165" i="1"/>
  <c r="N205" i="1"/>
  <c r="N23" i="1"/>
  <c r="N31" i="1"/>
  <c r="N39" i="1"/>
  <c r="N47" i="1"/>
  <c r="N55" i="1"/>
  <c r="N63" i="1"/>
  <c r="N71" i="1"/>
  <c r="N79" i="1"/>
  <c r="N87" i="1"/>
  <c r="N95" i="1"/>
  <c r="N103" i="1"/>
  <c r="N111" i="1"/>
  <c r="N119" i="1"/>
  <c r="N127" i="1"/>
  <c r="N135" i="1"/>
  <c r="N143" i="1"/>
  <c r="N151" i="1"/>
  <c r="N159" i="1"/>
  <c r="N167" i="1"/>
  <c r="N175" i="1"/>
  <c r="N183" i="1"/>
  <c r="N191" i="1"/>
  <c r="N199" i="1"/>
  <c r="N207" i="1"/>
  <c r="N215" i="1"/>
  <c r="N82" i="1"/>
  <c r="N106" i="1"/>
  <c r="N138" i="1"/>
  <c r="N170" i="1"/>
  <c r="N194" i="1"/>
  <c r="N100" i="1"/>
  <c r="N132" i="1"/>
  <c r="N172" i="1"/>
  <c r="N212" i="1"/>
  <c r="N61" i="1"/>
  <c r="N93" i="1"/>
  <c r="N125" i="1"/>
  <c r="N157" i="1"/>
  <c r="N213" i="1"/>
  <c r="N24" i="1"/>
  <c r="N32" i="1"/>
  <c r="N40" i="1"/>
  <c r="N48" i="1"/>
  <c r="N56" i="1"/>
  <c r="N64" i="1"/>
  <c r="N72" i="1"/>
  <c r="N80" i="1"/>
  <c r="N88" i="1"/>
  <c r="N96" i="1"/>
  <c r="N104" i="1"/>
  <c r="N112" i="1"/>
  <c r="N120" i="1"/>
  <c r="N128" i="1"/>
  <c r="N136" i="1"/>
  <c r="N144" i="1"/>
  <c r="N152" i="1"/>
  <c r="N160" i="1"/>
  <c r="N168" i="1"/>
  <c r="N176" i="1"/>
  <c r="N184" i="1"/>
  <c r="N192" i="1"/>
  <c r="N200" i="1"/>
  <c r="N208" i="1"/>
  <c r="N216" i="1"/>
  <c r="N74" i="1"/>
  <c r="N114" i="1"/>
  <c r="N146" i="1"/>
  <c r="N162" i="1"/>
  <c r="N186" i="1"/>
  <c r="N210" i="1"/>
  <c r="N108" i="1"/>
  <c r="N164" i="1"/>
  <c r="N204" i="1"/>
  <c r="N37" i="1"/>
  <c r="N77" i="1"/>
  <c r="N109" i="1"/>
  <c r="N141" i="1"/>
  <c r="N189" i="1"/>
  <c r="N25" i="1"/>
  <c r="N33" i="1"/>
  <c r="N41" i="1"/>
  <c r="N49" i="1"/>
  <c r="N57" i="1"/>
  <c r="N65" i="1"/>
  <c r="N73" i="1"/>
  <c r="N81" i="1"/>
  <c r="N89" i="1"/>
  <c r="N97" i="1"/>
  <c r="N105" i="1"/>
  <c r="N113" i="1"/>
  <c r="N121" i="1"/>
  <c r="N129" i="1"/>
  <c r="N137" i="1"/>
  <c r="N145" i="1"/>
  <c r="N153" i="1"/>
  <c r="N161" i="1"/>
  <c r="N169" i="1"/>
  <c r="N177" i="1"/>
  <c r="N185" i="1"/>
  <c r="N193" i="1"/>
  <c r="N201" i="1"/>
  <c r="N209" i="1"/>
  <c r="N217" i="1"/>
  <c r="N66" i="1"/>
  <c r="N130" i="1"/>
  <c r="N178" i="1"/>
  <c r="N92" i="1"/>
  <c r="N148" i="1"/>
  <c r="N188" i="1"/>
  <c r="N29" i="1"/>
  <c r="N69" i="1"/>
  <c r="N117" i="1"/>
  <c r="N149" i="1"/>
  <c r="N197" i="1"/>
  <c r="N26" i="1"/>
  <c r="N34" i="1"/>
  <c r="N42" i="1"/>
  <c r="N50" i="1"/>
  <c r="N58" i="1"/>
  <c r="N90" i="1"/>
  <c r="N98" i="1"/>
  <c r="N122" i="1"/>
  <c r="N154" i="1"/>
  <c r="N202" i="1"/>
  <c r="N124" i="1"/>
  <c r="N156" i="1"/>
  <c r="N196" i="1"/>
  <c r="N53" i="1"/>
  <c r="N101" i="1"/>
  <c r="N173" i="1"/>
  <c r="N27" i="1"/>
  <c r="N35" i="1"/>
  <c r="N43" i="1"/>
  <c r="N51" i="1"/>
  <c r="N59" i="1"/>
  <c r="N67" i="1"/>
  <c r="N75" i="1"/>
  <c r="N83" i="1"/>
  <c r="N91" i="1"/>
  <c r="N99" i="1"/>
  <c r="N107" i="1"/>
  <c r="N115" i="1"/>
  <c r="N123" i="1"/>
  <c r="N131" i="1"/>
  <c r="N139" i="1"/>
  <c r="N147" i="1"/>
  <c r="N155" i="1"/>
  <c r="N163" i="1"/>
  <c r="N171" i="1"/>
  <c r="N179" i="1"/>
  <c r="N187" i="1"/>
  <c r="N195" i="1"/>
  <c r="N203" i="1"/>
  <c r="N211" i="1"/>
  <c r="N28" i="1"/>
  <c r="N36" i="1"/>
  <c r="N44" i="1"/>
  <c r="N52" i="1"/>
  <c r="N60" i="1"/>
  <c r="N68" i="1"/>
  <c r="N76" i="1"/>
  <c r="N84" i="1"/>
  <c r="N116" i="1"/>
  <c r="N140" i="1"/>
  <c r="N180" i="1"/>
  <c r="N45" i="1"/>
  <c r="N85" i="1"/>
  <c r="N133" i="1"/>
  <c r="N181" i="1"/>
  <c r="N21" i="1"/>
  <c r="A1" i="1"/>
  <c r="G9" i="1"/>
  <c r="G17" i="1"/>
  <c r="G25" i="1"/>
  <c r="G33" i="1"/>
  <c r="G41" i="1"/>
  <c r="G49" i="1"/>
  <c r="G57" i="1"/>
  <c r="G65" i="1"/>
  <c r="G73" i="1"/>
  <c r="G81" i="1"/>
  <c r="G89" i="1"/>
  <c r="G97" i="1"/>
  <c r="G105" i="1"/>
  <c r="G113" i="1"/>
  <c r="G121" i="1"/>
  <c r="G129" i="1"/>
  <c r="G137" i="1"/>
  <c r="G145" i="1"/>
  <c r="G153" i="1"/>
  <c r="G161" i="1"/>
  <c r="G169" i="1"/>
  <c r="G177" i="1"/>
  <c r="G185" i="1"/>
  <c r="G193" i="1"/>
  <c r="G201" i="1"/>
  <c r="G209" i="1"/>
  <c r="G217" i="1"/>
  <c r="G13" i="1"/>
  <c r="G61" i="1"/>
  <c r="G85" i="1"/>
  <c r="G109" i="1"/>
  <c r="G141" i="1"/>
  <c r="G157" i="1"/>
  <c r="G189" i="1"/>
  <c r="G205" i="1"/>
  <c r="G10" i="1"/>
  <c r="G18" i="1"/>
  <c r="G26" i="1"/>
  <c r="G34" i="1"/>
  <c r="G42" i="1"/>
  <c r="G50" i="1"/>
  <c r="G58" i="1"/>
  <c r="G66" i="1"/>
  <c r="G74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" i="1"/>
  <c r="G53" i="1"/>
  <c r="G77" i="1"/>
  <c r="G101" i="1"/>
  <c r="G117" i="1"/>
  <c r="G149" i="1"/>
  <c r="G173" i="1"/>
  <c r="G197" i="1"/>
  <c r="G11" i="1"/>
  <c r="G19" i="1"/>
  <c r="G27" i="1"/>
  <c r="G35" i="1"/>
  <c r="G43" i="1"/>
  <c r="G51" i="1"/>
  <c r="G59" i="1"/>
  <c r="G67" i="1"/>
  <c r="G75" i="1"/>
  <c r="G83" i="1"/>
  <c r="G91" i="1"/>
  <c r="G99" i="1"/>
  <c r="G107" i="1"/>
  <c r="G115" i="1"/>
  <c r="G123" i="1"/>
  <c r="G131" i="1"/>
  <c r="G139" i="1"/>
  <c r="G147" i="1"/>
  <c r="G155" i="1"/>
  <c r="G163" i="1"/>
  <c r="G171" i="1"/>
  <c r="G179" i="1"/>
  <c r="G187" i="1"/>
  <c r="G195" i="1"/>
  <c r="G203" i="1"/>
  <c r="G211" i="1"/>
  <c r="G29" i="1"/>
  <c r="G45" i="1"/>
  <c r="G69" i="1"/>
  <c r="G93" i="1"/>
  <c r="G125" i="1"/>
  <c r="G165" i="1"/>
  <c r="G12" i="1"/>
  <c r="G20" i="1"/>
  <c r="G28" i="1"/>
  <c r="G36" i="1"/>
  <c r="G44" i="1"/>
  <c r="G52" i="1"/>
  <c r="G60" i="1"/>
  <c r="G68" i="1"/>
  <c r="G76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37" i="1"/>
  <c r="G133" i="1"/>
  <c r="G181" i="1"/>
  <c r="G213" i="1"/>
  <c r="G14" i="1"/>
  <c r="G22" i="1"/>
  <c r="G30" i="1"/>
  <c r="G38" i="1"/>
  <c r="G46" i="1"/>
  <c r="G54" i="1"/>
  <c r="G62" i="1"/>
  <c r="G70" i="1"/>
  <c r="G78" i="1"/>
  <c r="G86" i="1"/>
  <c r="G94" i="1"/>
  <c r="G102" i="1"/>
  <c r="G110" i="1"/>
  <c r="G118" i="1"/>
  <c r="G126" i="1"/>
  <c r="G134" i="1"/>
  <c r="G142" i="1"/>
  <c r="G150" i="1"/>
  <c r="G158" i="1"/>
  <c r="G166" i="1"/>
  <c r="G174" i="1"/>
  <c r="G182" i="1"/>
  <c r="G190" i="1"/>
  <c r="G198" i="1"/>
  <c r="G206" i="1"/>
  <c r="G214" i="1"/>
  <c r="G24" i="1"/>
  <c r="G32" i="1"/>
  <c r="G48" i="1"/>
  <c r="G64" i="1"/>
  <c r="G80" i="1"/>
  <c r="G96" i="1"/>
  <c r="G112" i="1"/>
  <c r="G128" i="1"/>
  <c r="G144" i="1"/>
  <c r="G160" i="1"/>
  <c r="G176" i="1"/>
  <c r="G192" i="1"/>
  <c r="G208" i="1"/>
  <c r="G15" i="1"/>
  <c r="G23" i="1"/>
  <c r="G31" i="1"/>
  <c r="G39" i="1"/>
  <c r="G47" i="1"/>
  <c r="G55" i="1"/>
  <c r="G63" i="1"/>
  <c r="G71" i="1"/>
  <c r="G79" i="1"/>
  <c r="G87" i="1"/>
  <c r="G95" i="1"/>
  <c r="G103" i="1"/>
  <c r="G111" i="1"/>
  <c r="G119" i="1"/>
  <c r="G127" i="1"/>
  <c r="G135" i="1"/>
  <c r="G143" i="1"/>
  <c r="G151" i="1"/>
  <c r="G159" i="1"/>
  <c r="G167" i="1"/>
  <c r="G175" i="1"/>
  <c r="G183" i="1"/>
  <c r="G191" i="1"/>
  <c r="G199" i="1"/>
  <c r="G207" i="1"/>
  <c r="G215" i="1"/>
  <c r="G16" i="1"/>
  <c r="G40" i="1"/>
  <c r="G56" i="1"/>
  <c r="G72" i="1"/>
  <c r="G88" i="1"/>
  <c r="G104" i="1"/>
  <c r="G120" i="1"/>
  <c r="G136" i="1"/>
  <c r="G152" i="1"/>
  <c r="G168" i="1"/>
  <c r="G184" i="1"/>
  <c r="G200" i="1"/>
  <c r="G216" i="1"/>
  <c r="G8" i="1"/>
  <c r="J89" i="1"/>
  <c r="J155" i="1"/>
  <c r="J92" i="1"/>
  <c r="L19" i="1"/>
  <c r="J192" i="1"/>
  <c r="J130" i="1"/>
  <c r="I98" i="1"/>
  <c r="L11" i="1"/>
  <c r="L125" i="1"/>
  <c r="L134" i="1"/>
  <c r="J182" i="1"/>
  <c r="L78" i="1"/>
  <c r="L9" i="1"/>
  <c r="L180" i="1"/>
  <c r="L65" i="1"/>
  <c r="J91" i="1"/>
  <c r="I109" i="1"/>
  <c r="H154" i="1"/>
  <c r="I68" i="1"/>
  <c r="H59" i="1"/>
  <c r="J170" i="1"/>
  <c r="J47" i="1"/>
  <c r="L192" i="1"/>
  <c r="L153" i="1"/>
  <c r="L20" i="1"/>
  <c r="J124" i="1"/>
  <c r="L205" i="1"/>
  <c r="I178" i="1"/>
  <c r="L49" i="1"/>
  <c r="J140" i="1"/>
  <c r="L139" i="1"/>
  <c r="I110" i="1"/>
  <c r="J204" i="1"/>
  <c r="J173" i="1"/>
  <c r="J45" i="1"/>
  <c r="H120" i="1"/>
  <c r="L10" i="1"/>
  <c r="J24" i="1"/>
  <c r="I129" i="1"/>
  <c r="I166" i="1"/>
  <c r="H132" i="1"/>
  <c r="H190" i="1"/>
  <c r="L144" i="1"/>
  <c r="I78" i="1"/>
  <c r="L103" i="1"/>
  <c r="L111" i="1"/>
  <c r="J189" i="1"/>
  <c r="J81" i="1"/>
  <c r="I72" i="1"/>
  <c r="J102" i="1"/>
  <c r="J129" i="1"/>
  <c r="H34" i="1"/>
  <c r="J214" i="1"/>
  <c r="L83" i="1"/>
  <c r="L89" i="1"/>
  <c r="H177" i="1"/>
  <c r="L40" i="1"/>
  <c r="L58" i="1"/>
  <c r="J145" i="1"/>
  <c r="L26" i="1"/>
  <c r="L131" i="1"/>
  <c r="H216" i="1"/>
  <c r="I151" i="1"/>
  <c r="H130" i="1"/>
  <c r="J18" i="1"/>
  <c r="J59" i="1"/>
  <c r="L70" i="1"/>
  <c r="I167" i="1"/>
  <c r="L181" i="1"/>
  <c r="J205" i="1"/>
  <c r="H208" i="1"/>
  <c r="H207" i="1"/>
  <c r="L173" i="1"/>
  <c r="L169" i="1"/>
  <c r="L121" i="1"/>
  <c r="I153" i="1"/>
  <c r="J74" i="1"/>
  <c r="H181" i="1"/>
  <c r="L108" i="1"/>
  <c r="L28" i="1"/>
  <c r="H184" i="1"/>
  <c r="I197" i="1"/>
  <c r="H57" i="1"/>
  <c r="H206" i="1"/>
  <c r="L21" i="1"/>
  <c r="H149" i="1"/>
  <c r="H129" i="1"/>
  <c r="L178" i="1"/>
  <c r="J137" i="1"/>
  <c r="L210" i="1"/>
  <c r="I131" i="1"/>
  <c r="J160" i="1"/>
  <c r="J216" i="1"/>
  <c r="I106" i="1"/>
  <c r="J34" i="1"/>
  <c r="J207" i="1"/>
  <c r="J121" i="1"/>
  <c r="H80" i="1"/>
  <c r="H51" i="1"/>
  <c r="J196" i="1"/>
  <c r="L120" i="1"/>
  <c r="H127" i="1"/>
  <c r="I139" i="1"/>
  <c r="H182" i="1"/>
  <c r="L215" i="1"/>
  <c r="J111" i="1"/>
  <c r="H67" i="1"/>
  <c r="H193" i="1"/>
  <c r="L87" i="1"/>
  <c r="L62" i="1"/>
  <c r="J187" i="1"/>
  <c r="L137" i="1"/>
  <c r="J48" i="1"/>
  <c r="L98" i="1"/>
  <c r="H54" i="1"/>
  <c r="H93" i="1"/>
  <c r="L197" i="1"/>
  <c r="J107" i="1"/>
  <c r="L114" i="1"/>
  <c r="H151" i="1"/>
  <c r="H41" i="1"/>
  <c r="J22" i="1"/>
  <c r="L130" i="1"/>
  <c r="L184" i="1"/>
  <c r="H139" i="1"/>
  <c r="L110" i="1"/>
  <c r="I87" i="1"/>
  <c r="I64" i="1"/>
  <c r="H131" i="1"/>
  <c r="L213" i="1"/>
  <c r="I210" i="1"/>
  <c r="I71" i="1"/>
  <c r="J123" i="1"/>
  <c r="J195" i="1"/>
  <c r="J4" i="1"/>
  <c r="I59" i="1"/>
  <c r="I116" i="1"/>
  <c r="L198" i="1"/>
  <c r="I107" i="1"/>
  <c r="J110" i="1"/>
  <c r="L8" i="1"/>
  <c r="I127" i="1"/>
  <c r="L148" i="1"/>
  <c r="J176" i="1"/>
  <c r="L66" i="1"/>
  <c r="J35" i="1"/>
  <c r="I89" i="1"/>
  <c r="I77" i="1"/>
  <c r="H137" i="1"/>
  <c r="L127" i="1"/>
  <c r="L85" i="1"/>
  <c r="I138" i="1"/>
  <c r="L68" i="1"/>
  <c r="J60" i="1"/>
  <c r="J37" i="1"/>
  <c r="J9" i="1"/>
  <c r="H102" i="1"/>
  <c r="I164" i="1"/>
  <c r="I192" i="1"/>
  <c r="I173" i="1"/>
  <c r="L190" i="1"/>
  <c r="J3" i="1"/>
  <c r="J8" i="1"/>
  <c r="I191" i="1"/>
  <c r="J174" i="1"/>
  <c r="H144" i="1"/>
  <c r="H37" i="1"/>
  <c r="J148" i="1"/>
  <c r="J68" i="1"/>
  <c r="J77" i="1"/>
  <c r="I172" i="1"/>
  <c r="I121" i="1"/>
  <c r="L179" i="1"/>
  <c r="J211" i="1"/>
  <c r="I52" i="1"/>
  <c r="H172" i="1"/>
  <c r="I162" i="1"/>
  <c r="I198" i="1"/>
  <c r="I152" i="1"/>
  <c r="J14" i="1"/>
  <c r="H39" i="1"/>
  <c r="I58" i="1"/>
  <c r="H97" i="1"/>
  <c r="H138" i="1"/>
  <c r="H122" i="1"/>
  <c r="I90" i="1"/>
  <c r="H108" i="1"/>
  <c r="J83" i="1"/>
  <c r="J17" i="1"/>
  <c r="J202" i="1"/>
  <c r="H197" i="1"/>
  <c r="J57" i="1"/>
  <c r="J193" i="1"/>
  <c r="J54" i="1"/>
  <c r="L45" i="1"/>
  <c r="H152" i="1"/>
  <c r="J185" i="1"/>
  <c r="J63" i="1"/>
  <c r="L33" i="1"/>
  <c r="H125" i="1"/>
  <c r="I103" i="1"/>
  <c r="H214" i="1"/>
  <c r="L102" i="1"/>
  <c r="H77" i="1"/>
  <c r="H169" i="1"/>
  <c r="J49" i="1"/>
  <c r="H91" i="1"/>
  <c r="L4" i="1"/>
  <c r="I187" i="1"/>
  <c r="L47" i="1"/>
  <c r="L211" i="1"/>
  <c r="L90" i="1"/>
  <c r="J40" i="1"/>
  <c r="L41" i="1"/>
  <c r="H200" i="1"/>
  <c r="H48" i="1"/>
  <c r="L193" i="1"/>
  <c r="I128" i="1"/>
  <c r="I105" i="1"/>
  <c r="I140" i="1"/>
  <c r="J94" i="1"/>
  <c r="L29" i="1"/>
  <c r="H71" i="1"/>
  <c r="J69" i="1"/>
  <c r="L105" i="1"/>
  <c r="I206" i="1"/>
  <c r="J84" i="1"/>
  <c r="J165" i="1"/>
  <c r="L165" i="1"/>
  <c r="L136" i="1"/>
  <c r="H83" i="1"/>
  <c r="I79" i="1"/>
  <c r="L160" i="1"/>
  <c r="J201" i="1"/>
  <c r="L155" i="1"/>
  <c r="H43" i="1"/>
  <c r="J41" i="1"/>
  <c r="L170" i="1"/>
  <c r="L113" i="1"/>
  <c r="J200" i="1"/>
  <c r="J144" i="1"/>
  <c r="L42" i="1"/>
  <c r="L60" i="1"/>
  <c r="J31" i="1"/>
  <c r="H205" i="1"/>
  <c r="I147" i="1"/>
  <c r="H136" i="1"/>
  <c r="L54" i="1"/>
  <c r="L167" i="1"/>
  <c r="J62" i="1"/>
  <c r="I130" i="1"/>
  <c r="J175" i="1"/>
  <c r="J157" i="1"/>
  <c r="I165" i="1"/>
  <c r="L117" i="1"/>
  <c r="L44" i="1"/>
  <c r="L57" i="1"/>
  <c r="I143" i="1"/>
  <c r="J36" i="1"/>
  <c r="I56" i="1"/>
  <c r="L138" i="1"/>
  <c r="L63" i="1"/>
  <c r="J194" i="1"/>
  <c r="J43" i="1"/>
  <c r="J93" i="1"/>
  <c r="L128" i="1"/>
  <c r="L194" i="1"/>
  <c r="L168" i="1"/>
  <c r="H185" i="1"/>
  <c r="H204" i="1"/>
  <c r="L186" i="1"/>
  <c r="J88" i="1"/>
  <c r="J127" i="1"/>
  <c r="H66" i="1"/>
  <c r="L23" i="1"/>
  <c r="J164" i="1"/>
  <c r="I80" i="1"/>
  <c r="I193" i="1"/>
  <c r="H106" i="1"/>
  <c r="J104" i="1"/>
  <c r="L135" i="1"/>
  <c r="I82" i="1"/>
  <c r="J153" i="1"/>
  <c r="H22" i="1"/>
  <c r="I86" i="1"/>
  <c r="J178" i="1"/>
  <c r="J27" i="1"/>
  <c r="I100" i="1"/>
  <c r="L147" i="1"/>
  <c r="L203" i="1"/>
  <c r="J114" i="1"/>
  <c r="J82" i="1"/>
  <c r="L88" i="1"/>
  <c r="H173" i="1"/>
  <c r="J117" i="1"/>
  <c r="H189" i="1"/>
  <c r="J21" i="1"/>
  <c r="L109" i="1"/>
  <c r="H47" i="1"/>
  <c r="L133" i="1"/>
  <c r="J179" i="1"/>
  <c r="L59" i="1"/>
  <c r="H160" i="1"/>
  <c r="J95" i="1"/>
  <c r="J42" i="1"/>
  <c r="J209" i="1"/>
  <c r="H198" i="1"/>
  <c r="I154" i="1"/>
  <c r="H50" i="1"/>
  <c r="I141" i="1"/>
  <c r="H87" i="1"/>
  <c r="L69" i="1"/>
  <c r="J76" i="1"/>
  <c r="L22" i="1"/>
  <c r="J106" i="1"/>
  <c r="L146" i="1"/>
  <c r="H107" i="1"/>
  <c r="H53" i="1"/>
  <c r="I88" i="1"/>
  <c r="J6" i="1"/>
  <c r="J198" i="1"/>
  <c r="L129" i="1"/>
  <c r="J105" i="1"/>
  <c r="H165" i="1"/>
  <c r="H49" i="1"/>
  <c r="I212" i="1"/>
  <c r="J44" i="1"/>
  <c r="L93" i="1"/>
  <c r="H55" i="1"/>
  <c r="I208" i="1"/>
  <c r="L208" i="1"/>
  <c r="L183" i="1"/>
  <c r="L35" i="1"/>
  <c r="L143" i="1"/>
  <c r="L116" i="1"/>
  <c r="I84" i="1"/>
  <c r="L212" i="1"/>
  <c r="J161" i="1"/>
  <c r="J67" i="1"/>
  <c r="I60" i="1"/>
  <c r="I69" i="1"/>
  <c r="J184" i="1"/>
  <c r="L14" i="1"/>
  <c r="H109" i="1"/>
  <c r="L71" i="1"/>
  <c r="L86" i="1"/>
  <c r="H203" i="1"/>
  <c r="I53" i="1"/>
  <c r="H161" i="1"/>
  <c r="H98" i="1"/>
  <c r="I196" i="1"/>
  <c r="I75" i="1"/>
  <c r="H141" i="1"/>
  <c r="H31" i="1"/>
  <c r="J212" i="1"/>
  <c r="J55" i="1"/>
  <c r="J119" i="1"/>
  <c r="L91" i="1"/>
  <c r="I54" i="1"/>
  <c r="H62" i="1"/>
  <c r="J108" i="1"/>
  <c r="L32" i="1"/>
  <c r="L30" i="1"/>
  <c r="H135" i="1"/>
  <c r="I120" i="1"/>
  <c r="I99" i="1"/>
  <c r="H167" i="1"/>
  <c r="J133" i="1"/>
  <c r="J118" i="1"/>
  <c r="J142" i="1"/>
  <c r="L15" i="1"/>
  <c r="H86" i="1"/>
  <c r="J167" i="1"/>
  <c r="J177" i="1"/>
  <c r="H72" i="1"/>
  <c r="J112" i="1"/>
  <c r="J51" i="1"/>
  <c r="H65" i="1"/>
  <c r="H174" i="1"/>
  <c r="H176" i="1"/>
  <c r="J183" i="1"/>
  <c r="L25" i="1"/>
  <c r="L82" i="1"/>
  <c r="L196" i="1"/>
  <c r="H29" i="1"/>
  <c r="J171" i="1"/>
  <c r="J146" i="1"/>
  <c r="L145" i="1"/>
  <c r="I177" i="1"/>
  <c r="J103" i="1"/>
  <c r="L166" i="1"/>
  <c r="J61" i="1"/>
  <c r="I126" i="1"/>
  <c r="H27" i="1"/>
  <c r="I76" i="1"/>
  <c r="H52" i="1"/>
  <c r="I102" i="1"/>
  <c r="H121" i="1"/>
  <c r="H90" i="1"/>
  <c r="L174" i="1"/>
  <c r="J169" i="1"/>
  <c r="H25" i="1"/>
  <c r="H21" i="1"/>
  <c r="J65" i="1"/>
  <c r="I215" i="1"/>
  <c r="J159" i="1"/>
  <c r="H191" i="1"/>
  <c r="J154" i="1"/>
  <c r="J33" i="1"/>
  <c r="H147" i="1"/>
  <c r="H101" i="1"/>
  <c r="L189" i="1"/>
  <c r="J58" i="1"/>
  <c r="J109" i="1"/>
  <c r="I134" i="1"/>
  <c r="I160" i="1"/>
  <c r="I117" i="1"/>
  <c r="J64" i="1"/>
  <c r="H183" i="1"/>
  <c r="J50" i="1"/>
  <c r="L204" i="1"/>
  <c r="L53" i="1"/>
  <c r="J5" i="1"/>
  <c r="J100" i="1"/>
  <c r="I146" i="1"/>
  <c r="H60" i="1"/>
  <c r="L216" i="1"/>
  <c r="H95" i="1"/>
  <c r="I97" i="1"/>
  <c r="H44" i="1"/>
  <c r="J26" i="1"/>
  <c r="I185" i="1"/>
  <c r="L119" i="1"/>
  <c r="L118" i="1"/>
  <c r="I61" i="1"/>
  <c r="L123" i="1"/>
  <c r="I148" i="1"/>
  <c r="H103" i="1"/>
  <c r="I118" i="1"/>
  <c r="I114" i="1"/>
  <c r="J135" i="1"/>
  <c r="J96" i="1"/>
  <c r="I174" i="1"/>
  <c r="L46" i="1"/>
  <c r="L150" i="1"/>
  <c r="L96" i="1"/>
  <c r="L13" i="1"/>
  <c r="L79" i="1"/>
  <c r="H145" i="1"/>
  <c r="L163" i="1"/>
  <c r="L191" i="1"/>
  <c r="I182" i="1"/>
  <c r="L24" i="1"/>
  <c r="H96" i="1"/>
  <c r="L188" i="1"/>
  <c r="H105" i="1"/>
  <c r="L37" i="1"/>
  <c r="L199" i="1"/>
  <c r="I104" i="1"/>
  <c r="H126" i="1"/>
  <c r="H69" i="1"/>
  <c r="H117" i="1"/>
  <c r="H175" i="1"/>
  <c r="J152" i="1"/>
  <c r="I145" i="1"/>
  <c r="H195" i="1"/>
  <c r="L161" i="1"/>
  <c r="L126" i="1"/>
  <c r="L67" i="1"/>
  <c r="J80" i="1"/>
  <c r="L72" i="1"/>
  <c r="H158" i="1"/>
  <c r="J120" i="1"/>
  <c r="H194" i="1"/>
  <c r="L81" i="1"/>
  <c r="L43" i="1"/>
  <c r="J98" i="1"/>
  <c r="H58" i="1"/>
  <c r="H46" i="1"/>
  <c r="I200" i="1"/>
  <c r="L107" i="1"/>
  <c r="J188" i="1"/>
  <c r="L207" i="1"/>
  <c r="H156" i="1"/>
  <c r="L16" i="1"/>
  <c r="H153" i="1"/>
  <c r="H187" i="1"/>
  <c r="H163" i="1"/>
  <c r="L159" i="1"/>
  <c r="L18" i="1"/>
  <c r="H140" i="1"/>
  <c r="H115" i="1"/>
  <c r="J12" i="1"/>
  <c r="J28" i="1"/>
  <c r="H30" i="1"/>
  <c r="H79" i="1"/>
  <c r="J206" i="1"/>
  <c r="J190" i="1"/>
  <c r="J215" i="1"/>
  <c r="L152" i="1"/>
  <c r="J126" i="1"/>
  <c r="I101" i="1"/>
  <c r="I181" i="1"/>
  <c r="I156" i="1"/>
  <c r="J132" i="1"/>
  <c r="J29" i="1"/>
  <c r="J73" i="1"/>
  <c r="I94" i="1"/>
  <c r="I62" i="1"/>
  <c r="I73" i="1"/>
  <c r="H94" i="1"/>
  <c r="L156" i="1"/>
  <c r="L112" i="1"/>
  <c r="I67" i="1"/>
  <c r="L195" i="1"/>
  <c r="L100" i="1"/>
  <c r="I163" i="1"/>
  <c r="H45" i="1"/>
  <c r="L95" i="1"/>
  <c r="L176" i="1"/>
  <c r="I211" i="1"/>
  <c r="L50" i="1"/>
  <c r="L132" i="1"/>
  <c r="L101" i="1"/>
  <c r="H28" i="1"/>
  <c r="I194" i="1"/>
  <c r="J181" i="1"/>
  <c r="L115" i="1"/>
  <c r="J86" i="1"/>
  <c r="I123" i="1"/>
  <c r="J156" i="1"/>
  <c r="I213" i="1"/>
  <c r="H81" i="1"/>
  <c r="I216" i="1"/>
  <c r="I155" i="1"/>
  <c r="J56" i="1"/>
  <c r="I168" i="1"/>
  <c r="H32" i="1"/>
  <c r="I93" i="1"/>
  <c r="H128" i="1"/>
  <c r="I125" i="1"/>
  <c r="H212" i="1"/>
  <c r="L122" i="1"/>
  <c r="I95" i="1"/>
  <c r="I188" i="1"/>
  <c r="H199" i="1"/>
  <c r="L209" i="1"/>
  <c r="J199" i="1"/>
  <c r="J78" i="1"/>
  <c r="I51" i="1"/>
  <c r="H110" i="1"/>
  <c r="J2" i="1"/>
  <c r="H119" i="1"/>
  <c r="L177" i="1"/>
  <c r="L38" i="1"/>
  <c r="L39" i="1"/>
  <c r="H133" i="1"/>
  <c r="H166" i="1"/>
  <c r="J128" i="1"/>
  <c r="H123" i="1"/>
  <c r="J139" i="1"/>
  <c r="H192" i="1"/>
  <c r="H114" i="1"/>
  <c r="J150" i="1"/>
  <c r="J19" i="1"/>
  <c r="L56" i="1"/>
  <c r="L172" i="1"/>
  <c r="I179" i="1"/>
  <c r="I201" i="1"/>
  <c r="L52" i="1"/>
  <c r="I74" i="1"/>
  <c r="H92" i="1"/>
  <c r="I66" i="1"/>
  <c r="H89" i="1"/>
  <c r="L3" i="1"/>
  <c r="H142" i="1"/>
  <c r="L142" i="1"/>
  <c r="H35" i="1"/>
  <c r="J149" i="1"/>
  <c r="I115" i="1"/>
  <c r="H201" i="1"/>
  <c r="H143" i="1"/>
  <c r="J99" i="1"/>
  <c r="H73" i="1"/>
  <c r="J116" i="1"/>
  <c r="H63" i="1"/>
  <c r="J10" i="1"/>
  <c r="H24" i="1"/>
  <c r="H210" i="1"/>
  <c r="I65" i="1"/>
  <c r="I209" i="1"/>
  <c r="I207" i="1"/>
  <c r="L124" i="1"/>
  <c r="I70" i="1"/>
  <c r="J162" i="1"/>
  <c r="L182" i="1"/>
  <c r="I57" i="1"/>
  <c r="L73" i="1"/>
  <c r="J122" i="1"/>
  <c r="I183" i="1"/>
  <c r="H104" i="1"/>
  <c r="I136" i="1"/>
  <c r="I184" i="1"/>
  <c r="H23" i="1"/>
  <c r="H68" i="1"/>
  <c r="L200" i="1"/>
  <c r="I214" i="1"/>
  <c r="I92" i="1"/>
  <c r="I83" i="1"/>
  <c r="H36" i="1"/>
  <c r="L157" i="1"/>
  <c r="J134" i="1"/>
  <c r="J210" i="1"/>
  <c r="H99" i="1"/>
  <c r="J97" i="1"/>
  <c r="J87" i="1"/>
  <c r="H178" i="1"/>
  <c r="I158" i="1"/>
  <c r="J101" i="1"/>
  <c r="L7" i="1"/>
  <c r="L51" i="1"/>
  <c r="I111" i="1"/>
  <c r="H188" i="1"/>
  <c r="J138" i="1"/>
  <c r="H84" i="1"/>
  <c r="H88" i="1"/>
  <c r="I112" i="1"/>
  <c r="J30" i="1"/>
  <c r="I85" i="1"/>
  <c r="H164" i="1"/>
  <c r="I63" i="1"/>
  <c r="H202" i="1"/>
  <c r="L80" i="1"/>
  <c r="L2" i="1"/>
  <c r="I144" i="1"/>
  <c r="H186" i="1"/>
  <c r="L141" i="1"/>
  <c r="I135" i="1"/>
  <c r="H171" i="1"/>
  <c r="J46" i="1"/>
  <c r="J72" i="1"/>
  <c r="I202" i="1"/>
  <c r="H213" i="1"/>
  <c r="L149" i="1"/>
  <c r="I169" i="1"/>
  <c r="L99" i="1"/>
  <c r="H134" i="1"/>
  <c r="J15" i="1"/>
  <c r="I137" i="1"/>
  <c r="J131" i="1"/>
  <c r="J38" i="1"/>
  <c r="J168" i="1"/>
  <c r="J186" i="1"/>
  <c r="L77" i="1"/>
  <c r="J66" i="1"/>
  <c r="L75" i="1"/>
  <c r="L104" i="1"/>
  <c r="J53" i="1"/>
  <c r="I132" i="1"/>
  <c r="J143" i="1"/>
  <c r="I204" i="1"/>
  <c r="L185" i="1"/>
  <c r="I203" i="1"/>
  <c r="I189" i="1"/>
  <c r="L158" i="1"/>
  <c r="H100" i="1"/>
  <c r="H111" i="1"/>
  <c r="I175" i="1"/>
  <c r="I108" i="1"/>
  <c r="L162" i="1"/>
  <c r="H38" i="1"/>
  <c r="I195" i="1"/>
  <c r="L97" i="1"/>
  <c r="L164" i="1"/>
  <c r="H40" i="1"/>
  <c r="J13" i="1"/>
  <c r="H61" i="1"/>
  <c r="I186" i="1"/>
  <c r="J136" i="1"/>
  <c r="J172" i="1"/>
  <c r="H112" i="1"/>
  <c r="I149" i="1"/>
  <c r="J11" i="1"/>
  <c r="J20" i="1"/>
  <c r="H33" i="1"/>
  <c r="H64" i="1"/>
  <c r="I180" i="1"/>
  <c r="L201" i="1"/>
  <c r="I176" i="1"/>
  <c r="L94" i="1"/>
  <c r="I190" i="1"/>
  <c r="J158" i="1"/>
  <c r="J166" i="1"/>
  <c r="H113" i="1"/>
  <c r="I142" i="1"/>
  <c r="L36" i="1"/>
  <c r="J70" i="1"/>
  <c r="J203" i="1"/>
  <c r="L84" i="1"/>
  <c r="L187" i="1"/>
  <c r="L175" i="1"/>
  <c r="H70" i="1"/>
  <c r="H118" i="1"/>
  <c r="L151" i="1"/>
  <c r="J141" i="1"/>
  <c r="L214" i="1"/>
  <c r="H159" i="1"/>
  <c r="H211" i="1"/>
  <c r="I81" i="1"/>
  <c r="L12" i="1"/>
  <c r="J79" i="1"/>
  <c r="H56" i="1"/>
  <c r="J23" i="1"/>
  <c r="I171" i="1"/>
  <c r="H209" i="1"/>
  <c r="H157" i="1"/>
  <c r="L92" i="1"/>
  <c r="I55" i="1"/>
  <c r="H74" i="1"/>
  <c r="H75" i="1"/>
  <c r="I157" i="1"/>
  <c r="H76" i="1"/>
  <c r="H42" i="1"/>
  <c r="H168" i="1"/>
  <c r="H82" i="1"/>
  <c r="H162" i="1"/>
  <c r="J85" i="1"/>
  <c r="J90" i="1"/>
  <c r="L17" i="1"/>
  <c r="J213" i="1"/>
  <c r="J197" i="1"/>
  <c r="H170" i="1"/>
  <c r="H116" i="1"/>
  <c r="J151" i="1"/>
  <c r="L55" i="1"/>
  <c r="H215" i="1"/>
  <c r="I159" i="1"/>
  <c r="L31" i="1"/>
  <c r="I124" i="1"/>
  <c r="H124" i="1"/>
  <c r="J32" i="1"/>
  <c r="L171" i="1"/>
  <c r="L154" i="1"/>
  <c r="H180" i="1"/>
  <c r="I199" i="1"/>
  <c r="L48" i="1"/>
  <c r="H150" i="1"/>
  <c r="J147" i="1"/>
  <c r="I119" i="1"/>
  <c r="H179" i="1"/>
  <c r="J191" i="1"/>
  <c r="J7" i="1"/>
  <c r="J25" i="1"/>
  <c r="I113" i="1"/>
  <c r="L27" i="1"/>
  <c r="J71" i="1"/>
  <c r="I170" i="1"/>
  <c r="I96" i="1"/>
  <c r="H85" i="1"/>
  <c r="L106" i="1"/>
  <c r="L34" i="1"/>
  <c r="L202" i="1"/>
  <c r="J125" i="1"/>
  <c r="J113" i="1"/>
  <c r="J75" i="1"/>
  <c r="L64" i="1"/>
  <c r="H26" i="1"/>
  <c r="L140" i="1"/>
  <c r="L61" i="1"/>
  <c r="J115" i="1"/>
  <c r="I150" i="1"/>
  <c r="L6" i="1"/>
  <c r="J163" i="1"/>
  <c r="J180" i="1"/>
  <c r="J16" i="1"/>
  <c r="I91" i="1"/>
  <c r="I161" i="1"/>
  <c r="J39" i="1"/>
  <c r="H148" i="1"/>
  <c r="I205" i="1"/>
  <c r="J208" i="1"/>
  <c r="L74" i="1"/>
  <c r="L206" i="1"/>
  <c r="H155" i="1"/>
  <c r="J52" i="1"/>
  <c r="I133" i="1"/>
  <c r="H146" i="1"/>
  <c r="H196" i="1"/>
  <c r="L76" i="1"/>
  <c r="H78" i="1"/>
  <c r="L5" i="1"/>
  <c r="I122" i="1"/>
  <c r="M119" i="1" l="1"/>
  <c r="M19" i="1"/>
  <c r="M200" i="1"/>
  <c r="M162" i="1"/>
  <c r="M20" i="1"/>
  <c r="M52" i="1"/>
  <c r="M114" i="1"/>
  <c r="M113" i="1"/>
  <c r="M165" i="1"/>
  <c r="M56" i="1"/>
  <c r="M139" i="1"/>
  <c r="M59" i="1"/>
  <c r="M202" i="1"/>
  <c r="M181" i="1"/>
  <c r="M215" i="1"/>
  <c r="M214" i="1"/>
  <c r="M87" i="1"/>
  <c r="M158" i="1"/>
  <c r="M159" i="1"/>
  <c r="M39" i="1"/>
  <c r="M32" i="1"/>
  <c r="M170" i="1"/>
  <c r="M51" i="1"/>
  <c r="M145" i="1"/>
  <c r="M208" i="1"/>
  <c r="M94" i="1"/>
  <c r="M174" i="1"/>
  <c r="M204" i="1"/>
  <c r="M28" i="1"/>
  <c r="M43" i="1"/>
  <c r="M36" i="1"/>
  <c r="M207" i="1"/>
  <c r="M73" i="1"/>
  <c r="M168" i="1"/>
  <c r="M115" i="1"/>
  <c r="M58" i="1"/>
  <c r="M143" i="1"/>
  <c r="M134" i="1"/>
  <c r="M83" i="1"/>
  <c r="M157" i="1"/>
  <c r="M91" i="1"/>
  <c r="M40" i="1"/>
  <c r="M61" i="1"/>
  <c r="M107" i="1"/>
  <c r="M177" i="1"/>
  <c r="M65" i="1"/>
  <c r="M190" i="1"/>
  <c r="M63" i="1"/>
  <c r="M31" i="1"/>
  <c r="M212" i="1"/>
  <c r="M176" i="1"/>
  <c r="M131" i="1"/>
  <c r="M45" i="1"/>
  <c r="M99" i="1"/>
  <c r="M142" i="1"/>
  <c r="M35" i="1"/>
  <c r="M122" i="1"/>
  <c r="M216" i="1"/>
  <c r="M141" i="1"/>
  <c r="M55" i="1"/>
  <c r="M60" i="1"/>
  <c r="M211" i="1"/>
  <c r="M111" i="1"/>
  <c r="M182" i="1"/>
  <c r="M71" i="1"/>
  <c r="M147" i="1"/>
  <c r="M196" i="1"/>
  <c r="M103" i="1"/>
  <c r="M197" i="1"/>
  <c r="M97" i="1"/>
  <c r="M44" i="1"/>
  <c r="M74" i="1"/>
  <c r="M47" i="1"/>
  <c r="M30" i="1"/>
  <c r="M110" i="1"/>
  <c r="M171" i="1"/>
  <c r="M117" i="1"/>
  <c r="M93" i="1"/>
  <c r="M137" i="1"/>
  <c r="M155" i="1"/>
  <c r="M125" i="1"/>
  <c r="M172" i="1"/>
  <c r="M120" i="1"/>
  <c r="M50" i="1"/>
  <c r="M132" i="1"/>
  <c r="M84" i="1"/>
  <c r="M160" i="1"/>
  <c r="M148" i="1"/>
  <c r="M70" i="1"/>
  <c r="M180" i="1"/>
  <c r="M173" i="1"/>
  <c r="M118" i="1"/>
  <c r="M206" i="1"/>
  <c r="M203" i="1"/>
  <c r="M81" i="1"/>
  <c r="M79" i="1"/>
  <c r="M186" i="1"/>
  <c r="M53" i="1"/>
  <c r="M33" i="1"/>
  <c r="M138" i="1"/>
  <c r="M136" i="1"/>
  <c r="M128" i="1"/>
  <c r="M169" i="1"/>
  <c r="M92" i="1"/>
  <c r="M187" i="1"/>
  <c r="M209" i="1"/>
  <c r="M106" i="1"/>
  <c r="M82" i="1"/>
  <c r="M57" i="1"/>
  <c r="M67" i="1"/>
  <c r="M17" i="1"/>
  <c r="M150" i="1"/>
  <c r="M191" i="1"/>
  <c r="M41" i="1"/>
  <c r="M166" i="1"/>
  <c r="M24" i="1"/>
  <c r="M153" i="1"/>
  <c r="M164" i="1"/>
  <c r="M49" i="1"/>
  <c r="M88" i="1"/>
  <c r="M189" i="1"/>
  <c r="M18" i="1"/>
  <c r="M167" i="1"/>
  <c r="M68" i="1"/>
  <c r="M16" i="1"/>
  <c r="M185" i="1"/>
  <c r="M135" i="1"/>
  <c r="M108" i="1"/>
  <c r="M85" i="1"/>
  <c r="M201" i="1"/>
  <c r="M26" i="1"/>
  <c r="M179" i="1"/>
  <c r="M95" i="1"/>
  <c r="M27" i="1"/>
  <c r="M129" i="1"/>
  <c r="M199" i="1"/>
  <c r="M130" i="1"/>
  <c r="M126" i="1"/>
  <c r="M46" i="1"/>
  <c r="M98" i="1"/>
  <c r="M161" i="1"/>
  <c r="M127" i="1"/>
  <c r="M121" i="1"/>
  <c r="M102" i="1"/>
  <c r="M152" i="1"/>
  <c r="M205" i="1"/>
  <c r="M78" i="1"/>
  <c r="M146" i="1"/>
  <c r="M175" i="1"/>
  <c r="M90" i="1"/>
  <c r="M213" i="1"/>
  <c r="M109" i="1"/>
  <c r="M66" i="1"/>
  <c r="M38" i="1"/>
  <c r="M104" i="1"/>
  <c r="M156" i="1"/>
  <c r="M72" i="1"/>
  <c r="M76" i="1"/>
  <c r="M183" i="1"/>
  <c r="M149" i="1"/>
  <c r="M42" i="1"/>
  <c r="M54" i="1"/>
  <c r="M140" i="1"/>
  <c r="M123" i="1"/>
  <c r="M75" i="1"/>
  <c r="M96" i="1"/>
  <c r="M124" i="1"/>
  <c r="M193" i="1"/>
  <c r="M195" i="1"/>
  <c r="M77" i="1"/>
  <c r="M184" i="1"/>
  <c r="M25" i="1"/>
  <c r="M198" i="1"/>
  <c r="M112" i="1"/>
  <c r="M86" i="1"/>
  <c r="M69" i="1"/>
  <c r="M89" i="1"/>
  <c r="M105" i="1"/>
  <c r="M188" i="1"/>
  <c r="M154" i="1"/>
  <c r="M64" i="1"/>
  <c r="M29" i="1"/>
  <c r="M80" i="1"/>
  <c r="M37" i="1"/>
  <c r="M163" i="1"/>
  <c r="M217" i="1"/>
  <c r="M48" i="1"/>
  <c r="M101" i="1"/>
  <c r="M151" i="1"/>
  <c r="M178" i="1"/>
  <c r="M192" i="1"/>
  <c r="M21" i="1"/>
  <c r="M210" i="1"/>
  <c r="M100" i="1"/>
  <c r="M133" i="1"/>
  <c r="M34" i="1"/>
  <c r="M194" i="1"/>
  <c r="M144" i="1"/>
  <c r="M116" i="1"/>
  <c r="M23" i="1"/>
  <c r="M62" i="1"/>
  <c r="M22" i="1"/>
  <c r="M15" i="1"/>
  <c r="K35" i="1"/>
  <c r="K118" i="1"/>
  <c r="K213" i="1"/>
  <c r="K104" i="1"/>
  <c r="K155" i="1"/>
  <c r="K45" i="1"/>
  <c r="K63" i="1"/>
  <c r="K210" i="1"/>
  <c r="K116" i="1"/>
  <c r="K161" i="1"/>
  <c r="K58" i="1"/>
  <c r="K48" i="1"/>
  <c r="K115" i="1"/>
  <c r="K83" i="1"/>
  <c r="K180" i="1"/>
  <c r="K44" i="1"/>
  <c r="K42" i="1"/>
  <c r="K160" i="1"/>
  <c r="K89" i="1"/>
  <c r="K91" i="1"/>
  <c r="K26" i="1"/>
  <c r="K109" i="1"/>
  <c r="K191" i="1"/>
  <c r="K34" i="1"/>
  <c r="K65" i="1"/>
  <c r="K157" i="1"/>
  <c r="K106" i="1"/>
  <c r="K75" i="1"/>
  <c r="K171" i="1"/>
  <c r="K119" i="1"/>
  <c r="K173" i="1"/>
  <c r="K80" i="1"/>
  <c r="K131" i="1"/>
  <c r="K152" i="1"/>
  <c r="K25" i="1"/>
  <c r="K114" i="1"/>
  <c r="K123" i="1"/>
  <c r="K107" i="1"/>
  <c r="K62" i="1"/>
  <c r="K88" i="1"/>
  <c r="K76" i="1"/>
  <c r="K167" i="1"/>
  <c r="K195" i="1"/>
  <c r="K100" i="1"/>
  <c r="K110" i="1"/>
  <c r="K98" i="1"/>
  <c r="K85" i="1"/>
  <c r="K23" i="1"/>
  <c r="K206" i="1"/>
  <c r="K208" i="1"/>
  <c r="K199" i="1"/>
  <c r="K170" i="1"/>
  <c r="K47" i="1"/>
  <c r="K99" i="1"/>
  <c r="K128" i="1"/>
  <c r="K178" i="1"/>
  <c r="K122" i="1"/>
  <c r="K196" i="1"/>
  <c r="K203" i="1"/>
  <c r="K197" i="1"/>
  <c r="K68" i="1"/>
  <c r="K82" i="1"/>
  <c r="K214" i="1"/>
  <c r="K126" i="1"/>
  <c r="K43" i="1"/>
  <c r="K159" i="1"/>
  <c r="K66" i="1"/>
  <c r="K149" i="1"/>
  <c r="K136" i="1"/>
  <c r="K53" i="1"/>
  <c r="K182" i="1"/>
  <c r="K51" i="1"/>
  <c r="K176" i="1"/>
  <c r="K60" i="1"/>
  <c r="K113" i="1"/>
  <c r="K59" i="1"/>
  <c r="K204" i="1"/>
  <c r="K36" i="1"/>
  <c r="K193" i="1"/>
  <c r="K142" i="1"/>
  <c r="K93" i="1"/>
  <c r="K189" i="1"/>
  <c r="K211" i="1"/>
  <c r="K200" i="1"/>
  <c r="K46" i="1"/>
  <c r="K94" i="1"/>
  <c r="K38" i="1"/>
  <c r="K145" i="1"/>
  <c r="K31" i="1"/>
  <c r="K117" i="1"/>
  <c r="K202" i="1"/>
  <c r="K186" i="1"/>
  <c r="K138" i="1"/>
  <c r="K198" i="1"/>
  <c r="K90" i="1"/>
  <c r="K39" i="1"/>
  <c r="K162" i="1"/>
  <c r="K49" i="1"/>
  <c r="K153" i="1"/>
  <c r="K69" i="1"/>
  <c r="K84" i="1"/>
  <c r="K74" i="1"/>
  <c r="K101" i="1"/>
  <c r="K183" i="1"/>
  <c r="K194" i="1"/>
  <c r="K50" i="1"/>
  <c r="K184" i="1"/>
  <c r="K102" i="1"/>
  <c r="K33" i="1"/>
  <c r="K28" i="1"/>
  <c r="K129" i="1"/>
  <c r="K215" i="1"/>
  <c r="K179" i="1"/>
  <c r="K147" i="1"/>
  <c r="K185" i="1"/>
  <c r="K205" i="1"/>
  <c r="K97" i="1"/>
  <c r="K77" i="1"/>
  <c r="K132" i="1"/>
  <c r="K166" i="1"/>
  <c r="K177" i="1"/>
  <c r="K32" i="1"/>
  <c r="K187" i="1"/>
  <c r="K169" i="1"/>
  <c r="K144" i="1"/>
  <c r="K216" i="1"/>
  <c r="K30" i="1"/>
  <c r="K57" i="1"/>
  <c r="K120" i="1"/>
  <c r="K181" i="1"/>
  <c r="K29" i="1"/>
  <c r="K168" i="1"/>
  <c r="K175" i="1"/>
  <c r="K92" i="1"/>
  <c r="K165" i="1"/>
  <c r="K86" i="1"/>
  <c r="K124" i="1"/>
  <c r="K125" i="1"/>
  <c r="K133" i="1"/>
  <c r="K172" i="1"/>
  <c r="K55" i="1"/>
  <c r="K103" i="1"/>
  <c r="K27" i="1"/>
  <c r="K56" i="1"/>
  <c r="K164" i="1"/>
  <c r="K148" i="1"/>
  <c r="K64" i="1"/>
  <c r="K201" i="1"/>
  <c r="K111" i="1"/>
  <c r="K190" i="1"/>
  <c r="K81" i="1"/>
  <c r="K73" i="1"/>
  <c r="K96" i="1"/>
  <c r="K22" i="1"/>
  <c r="K79" i="1"/>
  <c r="K54" i="1"/>
  <c r="K41" i="1"/>
  <c r="K130" i="1"/>
  <c r="K78" i="1"/>
  <c r="K121" i="1"/>
  <c r="K192" i="1"/>
  <c r="K143" i="1"/>
  <c r="K174" i="1"/>
  <c r="K141" i="1"/>
  <c r="K24" i="1"/>
  <c r="K134" i="1"/>
  <c r="K72" i="1"/>
  <c r="K150" i="1"/>
  <c r="K209" i="1"/>
  <c r="K207" i="1"/>
  <c r="K71" i="1"/>
  <c r="K135" i="1"/>
  <c r="K158" i="1"/>
  <c r="K105" i="1"/>
  <c r="K151" i="1"/>
  <c r="K139" i="1"/>
  <c r="K154" i="1"/>
  <c r="K52" i="1"/>
  <c r="K188" i="1"/>
  <c r="K70" i="1"/>
  <c r="K137" i="1"/>
  <c r="K127" i="1"/>
  <c r="K95" i="1"/>
  <c r="K61" i="1"/>
  <c r="K40" i="1"/>
  <c r="K146" i="1"/>
  <c r="K112" i="1"/>
  <c r="K163" i="1"/>
  <c r="K212" i="1"/>
  <c r="K87" i="1"/>
  <c r="K67" i="1"/>
  <c r="K140" i="1"/>
  <c r="K156" i="1"/>
  <c r="K37" i="1"/>
  <c r="K108" i="1"/>
  <c r="K2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3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</futureMetadata>
  <cellMetadata count="1">
    <bk>
      <rc t="1" v="0"/>
    </bk>
  </cellMetadata>
  <valueMetadata count="103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</valueMetadata>
</metadata>
</file>

<file path=xl/sharedStrings.xml><?xml version="1.0" encoding="utf-8"?>
<sst xmlns="http://schemas.openxmlformats.org/spreadsheetml/2006/main" count="234" uniqueCount="186">
  <si>
    <t>20 Day</t>
  </si>
  <si>
    <t>50 Day</t>
  </si>
  <si>
    <t>Cum Daily Returns</t>
  </si>
  <si>
    <t>HighLow</t>
  </si>
  <si>
    <t>HighLow20Day</t>
  </si>
  <si>
    <t>Date</t>
  </si>
  <si>
    <t>Price</t>
  </si>
  <si>
    <t>Open</t>
  </si>
  <si>
    <t>High</t>
  </si>
  <si>
    <t>Low</t>
  </si>
  <si>
    <t>Vol.</t>
  </si>
  <si>
    <t>0.05K</t>
  </si>
  <si>
    <t>1.07K</t>
  </si>
  <si>
    <t>0.11K</t>
  </si>
  <si>
    <t>0.10K</t>
  </si>
  <si>
    <t>0.00K</t>
  </si>
  <si>
    <t>0.87K</t>
  </si>
  <si>
    <t>0.28K</t>
  </si>
  <si>
    <t>0.64K</t>
  </si>
  <si>
    <t>1.73K</t>
  </si>
  <si>
    <t>0.60K</t>
  </si>
  <si>
    <t>0.93K</t>
  </si>
  <si>
    <t>0.61K</t>
  </si>
  <si>
    <t>0.36K</t>
  </si>
  <si>
    <t>0.90K</t>
  </si>
  <si>
    <t>1.36K</t>
  </si>
  <si>
    <t>1.04K</t>
  </si>
  <si>
    <t>2.44K</t>
  </si>
  <si>
    <t>1.12K</t>
  </si>
  <si>
    <t>1.33K</t>
  </si>
  <si>
    <t>0.06K</t>
  </si>
  <si>
    <t>1.18K</t>
  </si>
  <si>
    <t>0.15K</t>
  </si>
  <si>
    <t>0.21K</t>
  </si>
  <si>
    <t>0.85K</t>
  </si>
  <si>
    <t>0.07K</t>
  </si>
  <si>
    <t>0.26K</t>
  </si>
  <si>
    <t>1.35K</t>
  </si>
  <si>
    <t>2.43K</t>
  </si>
  <si>
    <t>0.47K</t>
  </si>
  <si>
    <t>1.39K</t>
  </si>
  <si>
    <t>0.20K</t>
  </si>
  <si>
    <t>1.06K</t>
  </si>
  <si>
    <t>0.55K</t>
  </si>
  <si>
    <t>1.45K</t>
  </si>
  <si>
    <t>0.92K</t>
  </si>
  <si>
    <t>1.02K</t>
  </si>
  <si>
    <t>3.36K</t>
  </si>
  <si>
    <t>1.16K</t>
  </si>
  <si>
    <t>0.71K</t>
  </si>
  <si>
    <t>2.41K</t>
  </si>
  <si>
    <t>0.22K</t>
  </si>
  <si>
    <t>2.14K</t>
  </si>
  <si>
    <t>1.59K</t>
  </si>
  <si>
    <t>0.81K</t>
  </si>
  <si>
    <t>1.24K</t>
  </si>
  <si>
    <t>0.73K</t>
  </si>
  <si>
    <t>1.14K</t>
  </si>
  <si>
    <t>1.22K</t>
  </si>
  <si>
    <t>0.45K</t>
  </si>
  <si>
    <t>2.28K</t>
  </si>
  <si>
    <t>0.57K</t>
  </si>
  <si>
    <t>2.47K</t>
  </si>
  <si>
    <t>4.62K</t>
  </si>
  <si>
    <t>4.32K</t>
  </si>
  <si>
    <t>3.16K</t>
  </si>
  <si>
    <t>5.50K</t>
  </si>
  <si>
    <t>3.39K</t>
  </si>
  <si>
    <t>4.86K</t>
  </si>
  <si>
    <t>0.19K</t>
  </si>
  <si>
    <t>0.99K</t>
  </si>
  <si>
    <t>1.23K</t>
  </si>
  <si>
    <t>0.84K</t>
  </si>
  <si>
    <t>1.17K</t>
  </si>
  <si>
    <t>4.74K</t>
  </si>
  <si>
    <t>2.71K</t>
  </si>
  <si>
    <t>Change %</t>
  </si>
  <si>
    <t>8.08K</t>
  </si>
  <si>
    <t>3.55K</t>
  </si>
  <si>
    <t>3.83K</t>
  </si>
  <si>
    <t>2.46K</t>
  </si>
  <si>
    <t>2.36K</t>
  </si>
  <si>
    <t>1.66K</t>
  </si>
  <si>
    <t>5.00K</t>
  </si>
  <si>
    <t>2.38K</t>
  </si>
  <si>
    <t>0.34K</t>
  </si>
  <si>
    <t>2.62K</t>
  </si>
  <si>
    <t>1.41K</t>
  </si>
  <si>
    <t>0.33K</t>
  </si>
  <si>
    <t>9.27K</t>
  </si>
  <si>
    <t>1.52K</t>
  </si>
  <si>
    <t>3.25K</t>
  </si>
  <si>
    <t>2.50K</t>
  </si>
  <si>
    <t>4.23K</t>
  </si>
  <si>
    <t>2.72K</t>
  </si>
  <si>
    <t>2.73K</t>
  </si>
  <si>
    <t>4.93K</t>
  </si>
  <si>
    <t>2.01K</t>
  </si>
  <si>
    <t>5.16K</t>
  </si>
  <si>
    <t>4.97K</t>
  </si>
  <si>
    <t>2.27K</t>
  </si>
  <si>
    <t>4.22K</t>
  </si>
  <si>
    <t>4.46K</t>
  </si>
  <si>
    <t>1.29K</t>
  </si>
  <si>
    <t>5.14K</t>
  </si>
  <si>
    <t>1.47K</t>
  </si>
  <si>
    <t>5.13K</t>
  </si>
  <si>
    <t>7.52K</t>
  </si>
  <si>
    <t>1.65K</t>
  </si>
  <si>
    <t>3.21K</t>
  </si>
  <si>
    <t>2.13K</t>
  </si>
  <si>
    <t>3.03K</t>
  </si>
  <si>
    <t>5.22K</t>
  </si>
  <si>
    <t>1.95K</t>
  </si>
  <si>
    <t>3.22K</t>
  </si>
  <si>
    <t>0.72K</t>
  </si>
  <si>
    <t>2.68K</t>
  </si>
  <si>
    <t>1.68K</t>
  </si>
  <si>
    <t>4.10K</t>
  </si>
  <si>
    <t>3.85K</t>
  </si>
  <si>
    <t>1.84K</t>
  </si>
  <si>
    <t>1.99K</t>
  </si>
  <si>
    <t>2.75K</t>
  </si>
  <si>
    <t>0.86K</t>
  </si>
  <si>
    <t>2.40K</t>
  </si>
  <si>
    <t>3.14K</t>
  </si>
  <si>
    <t>2.98K</t>
  </si>
  <si>
    <t>3.60K</t>
  </si>
  <si>
    <t>5.67K</t>
  </si>
  <si>
    <t>3.38K</t>
  </si>
  <si>
    <t>1.81K</t>
  </si>
  <si>
    <t>7.22K</t>
  </si>
  <si>
    <t>1.92K</t>
  </si>
  <si>
    <t>2.97K</t>
  </si>
  <si>
    <t>1.97K</t>
  </si>
  <si>
    <t>1.67K</t>
  </si>
  <si>
    <t>7.02K</t>
  </si>
  <si>
    <t>1.38K</t>
  </si>
  <si>
    <t>3.06K</t>
  </si>
  <si>
    <t>1.93K</t>
  </si>
  <si>
    <t>2.06K</t>
  </si>
  <si>
    <t>1.78K</t>
  </si>
  <si>
    <t>40.20K</t>
  </si>
  <si>
    <t>1.48K</t>
  </si>
  <si>
    <t>3.81K</t>
  </si>
  <si>
    <t>3.15K</t>
  </si>
  <si>
    <t>2.93K</t>
  </si>
  <si>
    <t>3.96K</t>
  </si>
  <si>
    <t>3.67K</t>
  </si>
  <si>
    <t>4.16K</t>
  </si>
  <si>
    <t>3.45K</t>
  </si>
  <si>
    <t>2.37K</t>
  </si>
  <si>
    <t>0.91K</t>
  </si>
  <si>
    <t>10.17K</t>
  </si>
  <si>
    <t>0.88K</t>
  </si>
  <si>
    <t>0.24K</t>
  </si>
  <si>
    <t>4.17K</t>
  </si>
  <si>
    <t>0.48K</t>
  </si>
  <si>
    <t>0.38K</t>
  </si>
  <si>
    <t>29.07K</t>
  </si>
  <si>
    <t>0.12K</t>
  </si>
  <si>
    <t>0.98K</t>
  </si>
  <si>
    <t>9.47K</t>
  </si>
  <si>
    <t>2.23K</t>
  </si>
  <si>
    <t>8.81K</t>
  </si>
  <si>
    <t>4.81K</t>
  </si>
  <si>
    <t>6.25K</t>
  </si>
  <si>
    <t>1.88K</t>
  </si>
  <si>
    <t>1.80K</t>
  </si>
  <si>
    <t>5.89K</t>
  </si>
  <si>
    <t>3.17K</t>
  </si>
  <si>
    <t>13.89K</t>
  </si>
  <si>
    <t>5.51K</t>
  </si>
  <si>
    <t>0.53K</t>
  </si>
  <si>
    <t>2.54K</t>
  </si>
  <si>
    <t>3.57K</t>
  </si>
  <si>
    <t>5.82K</t>
  </si>
  <si>
    <t>6.20K</t>
  </si>
  <si>
    <t>2.85K</t>
  </si>
  <si>
    <t>2.34K</t>
  </si>
  <si>
    <t>3.65K</t>
  </si>
  <si>
    <t>8.36K</t>
  </si>
  <si>
    <t>T</t>
  </si>
  <si>
    <t>7 Day</t>
  </si>
  <si>
    <t>Rolling Volatility</t>
  </si>
  <si>
    <t>20 Day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</si>
</sst>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2" applyNumberFormat="1" applyFont="1"/>
    <xf numFmtId="0" fontId="2" fillId="2" borderId="1" xfId="0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164" fontId="2" fillId="2" borderId="1" xfId="2" applyNumberFormat="1" applyFont="1" applyFill="1" applyBorder="1" applyAlignment="1">
      <alignment horizontal="center"/>
    </xf>
    <xf numFmtId="10" fontId="0" fillId="0" borderId="0" xfId="0" applyNumberFormat="1"/>
    <xf numFmtId="0" fontId="2" fillId="2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Array" Target="richData/rdarray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Stocks'!$B$2:$B$418</c:f>
              <c:numCache>
                <c:formatCode>General</c:formatCode>
                <c:ptCount val="417"/>
                <c:pt idx="0">
                  <c:v>93.9</c:v>
                </c:pt>
                <c:pt idx="1">
                  <c:v>93.5</c:v>
                </c:pt>
                <c:pt idx="2">
                  <c:v>93.69</c:v>
                </c:pt>
                <c:pt idx="3">
                  <c:v>93.5</c:v>
                </c:pt>
                <c:pt idx="4">
                  <c:v>93.7</c:v>
                </c:pt>
                <c:pt idx="5">
                  <c:v>93.99</c:v>
                </c:pt>
                <c:pt idx="6">
                  <c:v>93.99</c:v>
                </c:pt>
                <c:pt idx="7">
                  <c:v>94</c:v>
                </c:pt>
                <c:pt idx="8">
                  <c:v>94.99</c:v>
                </c:pt>
                <c:pt idx="9">
                  <c:v>97</c:v>
                </c:pt>
                <c:pt idx="10">
                  <c:v>96.85</c:v>
                </c:pt>
                <c:pt idx="11">
                  <c:v>96.5</c:v>
                </c:pt>
                <c:pt idx="12">
                  <c:v>96.5</c:v>
                </c:pt>
                <c:pt idx="13">
                  <c:v>97</c:v>
                </c:pt>
                <c:pt idx="14">
                  <c:v>96.8</c:v>
                </c:pt>
                <c:pt idx="15">
                  <c:v>98.4</c:v>
                </c:pt>
                <c:pt idx="16">
                  <c:v>98.9</c:v>
                </c:pt>
                <c:pt idx="17">
                  <c:v>98</c:v>
                </c:pt>
                <c:pt idx="18">
                  <c:v>97.8</c:v>
                </c:pt>
                <c:pt idx="19">
                  <c:v>97.4</c:v>
                </c:pt>
                <c:pt idx="20">
                  <c:v>97.7</c:v>
                </c:pt>
                <c:pt idx="21">
                  <c:v>97</c:v>
                </c:pt>
                <c:pt idx="22">
                  <c:v>97</c:v>
                </c:pt>
                <c:pt idx="23">
                  <c:v>96.98</c:v>
                </c:pt>
                <c:pt idx="24">
                  <c:v>96.9</c:v>
                </c:pt>
                <c:pt idx="25">
                  <c:v>96.45</c:v>
                </c:pt>
                <c:pt idx="26">
                  <c:v>96.99</c:v>
                </c:pt>
                <c:pt idx="27">
                  <c:v>97.4</c:v>
                </c:pt>
                <c:pt idx="28">
                  <c:v>97.03</c:v>
                </c:pt>
                <c:pt idx="29">
                  <c:v>97.15</c:v>
                </c:pt>
                <c:pt idx="30">
                  <c:v>97.4</c:v>
                </c:pt>
                <c:pt idx="31">
                  <c:v>97.5</c:v>
                </c:pt>
                <c:pt idx="32">
                  <c:v>97.5</c:v>
                </c:pt>
                <c:pt idx="33">
                  <c:v>98.5</c:v>
                </c:pt>
                <c:pt idx="34">
                  <c:v>98.89</c:v>
                </c:pt>
                <c:pt idx="35">
                  <c:v>98.9</c:v>
                </c:pt>
                <c:pt idx="36">
                  <c:v>99.5</c:v>
                </c:pt>
                <c:pt idx="37">
                  <c:v>99</c:v>
                </c:pt>
                <c:pt idx="38">
                  <c:v>98.71</c:v>
                </c:pt>
                <c:pt idx="39">
                  <c:v>98.9</c:v>
                </c:pt>
                <c:pt idx="40">
                  <c:v>99.7</c:v>
                </c:pt>
                <c:pt idx="41">
                  <c:v>99.9</c:v>
                </c:pt>
                <c:pt idx="42">
                  <c:v>101</c:v>
                </c:pt>
                <c:pt idx="43">
                  <c:v>103.5</c:v>
                </c:pt>
                <c:pt idx="44">
                  <c:v>103</c:v>
                </c:pt>
                <c:pt idx="45">
                  <c:v>103.25</c:v>
                </c:pt>
                <c:pt idx="46">
                  <c:v>101</c:v>
                </c:pt>
                <c:pt idx="47">
                  <c:v>100.99</c:v>
                </c:pt>
                <c:pt idx="48">
                  <c:v>100.1</c:v>
                </c:pt>
                <c:pt idx="49">
                  <c:v>101</c:v>
                </c:pt>
                <c:pt idx="50">
                  <c:v>101.9</c:v>
                </c:pt>
                <c:pt idx="51">
                  <c:v>100.6</c:v>
                </c:pt>
                <c:pt idx="52">
                  <c:v>100.59</c:v>
                </c:pt>
                <c:pt idx="53">
                  <c:v>99.9</c:v>
                </c:pt>
                <c:pt idx="54">
                  <c:v>99.72</c:v>
                </c:pt>
                <c:pt idx="55">
                  <c:v>99.7</c:v>
                </c:pt>
                <c:pt idx="56">
                  <c:v>98.9</c:v>
                </c:pt>
                <c:pt idx="57">
                  <c:v>98.9</c:v>
                </c:pt>
                <c:pt idx="58">
                  <c:v>98.66</c:v>
                </c:pt>
                <c:pt idx="59">
                  <c:v>98.9</c:v>
                </c:pt>
                <c:pt idx="60">
                  <c:v>98.5</c:v>
                </c:pt>
                <c:pt idx="61">
                  <c:v>98.5</c:v>
                </c:pt>
                <c:pt idx="62">
                  <c:v>98.5</c:v>
                </c:pt>
                <c:pt idx="63">
                  <c:v>98.85</c:v>
                </c:pt>
                <c:pt idx="64">
                  <c:v>98</c:v>
                </c:pt>
                <c:pt idx="65">
                  <c:v>98.6</c:v>
                </c:pt>
                <c:pt idx="66">
                  <c:v>98.6</c:v>
                </c:pt>
                <c:pt idx="67">
                  <c:v>98.98</c:v>
                </c:pt>
                <c:pt idx="68">
                  <c:v>99.2</c:v>
                </c:pt>
                <c:pt idx="69">
                  <c:v>99.99</c:v>
                </c:pt>
                <c:pt idx="70">
                  <c:v>99.99</c:v>
                </c:pt>
                <c:pt idx="71">
                  <c:v>101.99</c:v>
                </c:pt>
                <c:pt idx="72">
                  <c:v>100.99</c:v>
                </c:pt>
                <c:pt idx="73">
                  <c:v>101.87</c:v>
                </c:pt>
                <c:pt idx="74">
                  <c:v>101.87</c:v>
                </c:pt>
                <c:pt idx="75">
                  <c:v>102</c:v>
                </c:pt>
                <c:pt idx="76">
                  <c:v>103</c:v>
                </c:pt>
                <c:pt idx="77">
                  <c:v>102.49</c:v>
                </c:pt>
                <c:pt idx="78">
                  <c:v>102.49</c:v>
                </c:pt>
                <c:pt idx="79">
                  <c:v>103.4</c:v>
                </c:pt>
                <c:pt idx="80">
                  <c:v>103</c:v>
                </c:pt>
                <c:pt idx="81">
                  <c:v>103.5</c:v>
                </c:pt>
                <c:pt idx="82">
                  <c:v>103.5</c:v>
                </c:pt>
                <c:pt idx="83">
                  <c:v>103.47</c:v>
                </c:pt>
                <c:pt idx="84">
                  <c:v>103.47</c:v>
                </c:pt>
                <c:pt idx="85">
                  <c:v>103.4</c:v>
                </c:pt>
                <c:pt idx="86">
                  <c:v>103.45</c:v>
                </c:pt>
                <c:pt idx="87">
                  <c:v>97.3</c:v>
                </c:pt>
                <c:pt idx="88">
                  <c:v>97.1</c:v>
                </c:pt>
                <c:pt idx="89">
                  <c:v>97</c:v>
                </c:pt>
                <c:pt idx="90">
                  <c:v>96.98</c:v>
                </c:pt>
                <c:pt idx="91">
                  <c:v>97.1</c:v>
                </c:pt>
                <c:pt idx="92">
                  <c:v>96.9</c:v>
                </c:pt>
                <c:pt idx="93">
                  <c:v>94.8</c:v>
                </c:pt>
                <c:pt idx="94">
                  <c:v>96.99</c:v>
                </c:pt>
                <c:pt idx="95">
                  <c:v>97</c:v>
                </c:pt>
                <c:pt idx="96">
                  <c:v>97</c:v>
                </c:pt>
                <c:pt idx="97">
                  <c:v>96.98</c:v>
                </c:pt>
                <c:pt idx="98">
                  <c:v>96.5</c:v>
                </c:pt>
                <c:pt idx="99">
                  <c:v>96.4</c:v>
                </c:pt>
                <c:pt idx="100">
                  <c:v>95.8</c:v>
                </c:pt>
                <c:pt idx="101">
                  <c:v>94.5</c:v>
                </c:pt>
                <c:pt idx="102">
                  <c:v>94.5</c:v>
                </c:pt>
                <c:pt idx="103">
                  <c:v>94</c:v>
                </c:pt>
                <c:pt idx="104">
                  <c:v>94.2</c:v>
                </c:pt>
                <c:pt idx="105">
                  <c:v>94.1</c:v>
                </c:pt>
                <c:pt idx="106">
                  <c:v>94</c:v>
                </c:pt>
                <c:pt idx="107">
                  <c:v>94.08</c:v>
                </c:pt>
                <c:pt idx="108">
                  <c:v>93.49</c:v>
                </c:pt>
                <c:pt idx="109">
                  <c:v>93.3</c:v>
                </c:pt>
                <c:pt idx="110">
                  <c:v>92</c:v>
                </c:pt>
                <c:pt idx="111">
                  <c:v>90.65</c:v>
                </c:pt>
                <c:pt idx="112">
                  <c:v>90.5</c:v>
                </c:pt>
                <c:pt idx="113">
                  <c:v>90.2</c:v>
                </c:pt>
                <c:pt idx="114">
                  <c:v>92.99</c:v>
                </c:pt>
                <c:pt idx="115">
                  <c:v>92.79</c:v>
                </c:pt>
                <c:pt idx="116">
                  <c:v>92.02</c:v>
                </c:pt>
                <c:pt idx="117">
                  <c:v>94</c:v>
                </c:pt>
                <c:pt idx="118">
                  <c:v>94</c:v>
                </c:pt>
                <c:pt idx="119">
                  <c:v>94.15</c:v>
                </c:pt>
                <c:pt idx="120">
                  <c:v>94</c:v>
                </c:pt>
                <c:pt idx="121">
                  <c:v>94</c:v>
                </c:pt>
                <c:pt idx="122">
                  <c:v>94</c:v>
                </c:pt>
                <c:pt idx="123">
                  <c:v>94</c:v>
                </c:pt>
                <c:pt idx="124">
                  <c:v>94</c:v>
                </c:pt>
                <c:pt idx="125">
                  <c:v>94</c:v>
                </c:pt>
                <c:pt idx="126">
                  <c:v>94</c:v>
                </c:pt>
                <c:pt idx="127">
                  <c:v>94</c:v>
                </c:pt>
                <c:pt idx="128">
                  <c:v>93.9</c:v>
                </c:pt>
                <c:pt idx="129">
                  <c:v>94</c:v>
                </c:pt>
                <c:pt idx="130">
                  <c:v>94</c:v>
                </c:pt>
                <c:pt idx="131">
                  <c:v>94.98</c:v>
                </c:pt>
                <c:pt idx="132">
                  <c:v>94.5</c:v>
                </c:pt>
                <c:pt idx="133">
                  <c:v>94.4</c:v>
                </c:pt>
                <c:pt idx="134">
                  <c:v>94.4</c:v>
                </c:pt>
                <c:pt idx="135">
                  <c:v>94.6</c:v>
                </c:pt>
                <c:pt idx="136">
                  <c:v>93.8</c:v>
                </c:pt>
                <c:pt idx="137">
                  <c:v>94.3</c:v>
                </c:pt>
                <c:pt idx="138">
                  <c:v>94.2</c:v>
                </c:pt>
                <c:pt idx="139">
                  <c:v>94.2</c:v>
                </c:pt>
                <c:pt idx="140">
                  <c:v>93.8</c:v>
                </c:pt>
                <c:pt idx="141">
                  <c:v>94</c:v>
                </c:pt>
                <c:pt idx="142">
                  <c:v>94</c:v>
                </c:pt>
                <c:pt idx="143">
                  <c:v>94</c:v>
                </c:pt>
                <c:pt idx="144">
                  <c:v>93.95</c:v>
                </c:pt>
                <c:pt idx="145">
                  <c:v>93.9</c:v>
                </c:pt>
                <c:pt idx="146">
                  <c:v>93.9</c:v>
                </c:pt>
                <c:pt idx="147">
                  <c:v>93.9</c:v>
                </c:pt>
                <c:pt idx="148">
                  <c:v>93.9</c:v>
                </c:pt>
                <c:pt idx="149">
                  <c:v>93.85</c:v>
                </c:pt>
                <c:pt idx="150">
                  <c:v>93.7</c:v>
                </c:pt>
                <c:pt idx="151">
                  <c:v>93.7</c:v>
                </c:pt>
                <c:pt idx="152">
                  <c:v>93.68</c:v>
                </c:pt>
                <c:pt idx="153">
                  <c:v>93.7</c:v>
                </c:pt>
                <c:pt idx="154">
                  <c:v>93.79</c:v>
                </c:pt>
                <c:pt idx="155">
                  <c:v>93.9</c:v>
                </c:pt>
                <c:pt idx="156">
                  <c:v>93.9</c:v>
                </c:pt>
                <c:pt idx="157">
                  <c:v>94</c:v>
                </c:pt>
                <c:pt idx="158">
                  <c:v>93.92</c:v>
                </c:pt>
                <c:pt idx="159">
                  <c:v>93.71</c:v>
                </c:pt>
                <c:pt idx="160">
                  <c:v>94</c:v>
                </c:pt>
                <c:pt idx="161">
                  <c:v>94</c:v>
                </c:pt>
                <c:pt idx="162">
                  <c:v>94</c:v>
                </c:pt>
                <c:pt idx="163">
                  <c:v>94</c:v>
                </c:pt>
                <c:pt idx="164">
                  <c:v>93.75</c:v>
                </c:pt>
                <c:pt idx="165">
                  <c:v>95.5</c:v>
                </c:pt>
                <c:pt idx="166">
                  <c:v>95.39</c:v>
                </c:pt>
                <c:pt idx="167">
                  <c:v>94.7</c:v>
                </c:pt>
                <c:pt idx="168">
                  <c:v>96</c:v>
                </c:pt>
                <c:pt idx="169">
                  <c:v>95.79</c:v>
                </c:pt>
                <c:pt idx="170">
                  <c:v>97.9</c:v>
                </c:pt>
                <c:pt idx="171">
                  <c:v>97.69</c:v>
                </c:pt>
                <c:pt idx="172">
                  <c:v>97.68</c:v>
                </c:pt>
                <c:pt idx="173">
                  <c:v>98.89</c:v>
                </c:pt>
                <c:pt idx="174">
                  <c:v>101</c:v>
                </c:pt>
                <c:pt idx="175">
                  <c:v>101</c:v>
                </c:pt>
                <c:pt idx="176">
                  <c:v>101</c:v>
                </c:pt>
                <c:pt idx="177">
                  <c:v>101</c:v>
                </c:pt>
                <c:pt idx="178">
                  <c:v>100.84</c:v>
                </c:pt>
                <c:pt idx="179">
                  <c:v>101.24</c:v>
                </c:pt>
                <c:pt idx="180">
                  <c:v>101.9</c:v>
                </c:pt>
                <c:pt idx="181">
                  <c:v>102.95</c:v>
                </c:pt>
                <c:pt idx="182">
                  <c:v>103.6</c:v>
                </c:pt>
                <c:pt idx="183">
                  <c:v>103</c:v>
                </c:pt>
                <c:pt idx="184">
                  <c:v>103</c:v>
                </c:pt>
                <c:pt idx="185">
                  <c:v>102.94</c:v>
                </c:pt>
                <c:pt idx="186">
                  <c:v>102</c:v>
                </c:pt>
                <c:pt idx="187">
                  <c:v>102.69</c:v>
                </c:pt>
                <c:pt idx="188">
                  <c:v>101.99</c:v>
                </c:pt>
                <c:pt idx="189">
                  <c:v>101</c:v>
                </c:pt>
                <c:pt idx="190">
                  <c:v>101.4</c:v>
                </c:pt>
                <c:pt idx="191">
                  <c:v>101.4</c:v>
                </c:pt>
                <c:pt idx="192">
                  <c:v>101.97</c:v>
                </c:pt>
                <c:pt idx="193">
                  <c:v>101.94</c:v>
                </c:pt>
                <c:pt idx="194">
                  <c:v>101.1</c:v>
                </c:pt>
                <c:pt idx="195">
                  <c:v>101.1</c:v>
                </c:pt>
                <c:pt idx="196">
                  <c:v>101.05</c:v>
                </c:pt>
                <c:pt idx="197">
                  <c:v>101.05</c:v>
                </c:pt>
                <c:pt idx="198">
                  <c:v>102.8</c:v>
                </c:pt>
                <c:pt idx="199">
                  <c:v>103.8</c:v>
                </c:pt>
                <c:pt idx="200">
                  <c:v>103.7</c:v>
                </c:pt>
                <c:pt idx="201">
                  <c:v>103.4</c:v>
                </c:pt>
                <c:pt idx="202">
                  <c:v>103.9</c:v>
                </c:pt>
                <c:pt idx="203">
                  <c:v>103.95</c:v>
                </c:pt>
                <c:pt idx="204">
                  <c:v>104.2</c:v>
                </c:pt>
                <c:pt idx="205">
                  <c:v>105.48</c:v>
                </c:pt>
                <c:pt idx="206">
                  <c:v>105.4</c:v>
                </c:pt>
                <c:pt idx="207">
                  <c:v>105.5</c:v>
                </c:pt>
                <c:pt idx="208">
                  <c:v>106.94</c:v>
                </c:pt>
                <c:pt idx="209">
                  <c:v>107.5</c:v>
                </c:pt>
                <c:pt idx="210">
                  <c:v>108</c:v>
                </c:pt>
                <c:pt idx="211">
                  <c:v>108.6</c:v>
                </c:pt>
                <c:pt idx="212">
                  <c:v>108.8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1-425C-92E7-100748748849}"/>
            </c:ext>
          </c:extLst>
        </c:ser>
        <c:ser>
          <c:idx val="1"/>
          <c:order val="1"/>
          <c:tx>
            <c:strRef>
              <c:f>'Tunisia Stocks'!$H$1</c:f>
              <c:strCache>
                <c:ptCount val="1"/>
                <c:pt idx="0">
                  <c:v> 20 Day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Stocks'!$H$2:$H$418</c:f>
              <c:numCache>
                <c:formatCode>_(* #,##0.00_);_(* \(#,##0.00\);_(* "-"??_);_(@_)</c:formatCode>
                <c:ptCount val="417"/>
                <c:pt idx="19">
                  <c:v>95.82050000000001</c:v>
                </c:pt>
                <c:pt idx="20">
                  <c:v>96.010500000000008</c:v>
                </c:pt>
                <c:pt idx="21">
                  <c:v>96.185500000000019</c:v>
                </c:pt>
                <c:pt idx="22">
                  <c:v>96.351000000000013</c:v>
                </c:pt>
                <c:pt idx="23">
                  <c:v>96.52500000000002</c:v>
                </c:pt>
                <c:pt idx="24">
                  <c:v>96.685000000000016</c:v>
                </c:pt>
                <c:pt idx="25">
                  <c:v>96.808000000000021</c:v>
                </c:pt>
                <c:pt idx="26">
                  <c:v>96.958000000000013</c:v>
                </c:pt>
                <c:pt idx="27">
                  <c:v>97.128000000000014</c:v>
                </c:pt>
                <c:pt idx="28">
                  <c:v>97.23</c:v>
                </c:pt>
                <c:pt idx="29">
                  <c:v>97.237500000000011</c:v>
                </c:pt>
                <c:pt idx="30">
                  <c:v>97.265000000000015</c:v>
                </c:pt>
                <c:pt idx="31">
                  <c:v>97.315000000000026</c:v>
                </c:pt>
                <c:pt idx="32">
                  <c:v>97.365000000000023</c:v>
                </c:pt>
                <c:pt idx="33">
                  <c:v>97.440000000000026</c:v>
                </c:pt>
                <c:pt idx="34">
                  <c:v>97.544500000000014</c:v>
                </c:pt>
                <c:pt idx="35">
                  <c:v>97.569500000000019</c:v>
                </c:pt>
                <c:pt idx="36">
                  <c:v>97.59950000000002</c:v>
                </c:pt>
                <c:pt idx="37">
                  <c:v>97.649500000000018</c:v>
                </c:pt>
                <c:pt idx="38">
                  <c:v>97.695000000000022</c:v>
                </c:pt>
                <c:pt idx="39">
                  <c:v>97.77000000000001</c:v>
                </c:pt>
                <c:pt idx="40">
                  <c:v>97.87</c:v>
                </c:pt>
                <c:pt idx="41">
                  <c:v>98.015000000000015</c:v>
                </c:pt>
                <c:pt idx="42">
                  <c:v>98.215000000000018</c:v>
                </c:pt>
                <c:pt idx="43">
                  <c:v>98.541000000000025</c:v>
                </c:pt>
                <c:pt idx="44">
                  <c:v>98.846000000000018</c:v>
                </c:pt>
                <c:pt idx="45">
                  <c:v>99.186000000000007</c:v>
                </c:pt>
                <c:pt idx="46">
                  <c:v>99.386500000000012</c:v>
                </c:pt>
                <c:pt idx="47">
                  <c:v>99.566000000000003</c:v>
                </c:pt>
                <c:pt idx="48">
                  <c:v>99.719500000000011</c:v>
                </c:pt>
                <c:pt idx="49">
                  <c:v>99.912000000000006</c:v>
                </c:pt>
                <c:pt idx="50">
                  <c:v>100.137</c:v>
                </c:pt>
                <c:pt idx="51">
                  <c:v>100.292</c:v>
                </c:pt>
                <c:pt idx="52">
                  <c:v>100.44649999999999</c:v>
                </c:pt>
                <c:pt idx="53">
                  <c:v>100.51649999999999</c:v>
                </c:pt>
                <c:pt idx="54">
                  <c:v>100.55800000000001</c:v>
                </c:pt>
                <c:pt idx="55">
                  <c:v>100.598</c:v>
                </c:pt>
                <c:pt idx="56">
                  <c:v>100.56800000000001</c:v>
                </c:pt>
                <c:pt idx="57">
                  <c:v>100.56300000000002</c:v>
                </c:pt>
                <c:pt idx="58">
                  <c:v>100.56050000000002</c:v>
                </c:pt>
                <c:pt idx="59">
                  <c:v>100.56050000000002</c:v>
                </c:pt>
                <c:pt idx="60">
                  <c:v>100.50050000000002</c:v>
                </c:pt>
                <c:pt idx="61">
                  <c:v>100.43050000000002</c:v>
                </c:pt>
                <c:pt idx="62">
                  <c:v>100.30550000000002</c:v>
                </c:pt>
                <c:pt idx="63">
                  <c:v>100.07300000000001</c:v>
                </c:pt>
                <c:pt idx="64">
                  <c:v>99.823000000000008</c:v>
                </c:pt>
                <c:pt idx="65">
                  <c:v>99.590500000000006</c:v>
                </c:pt>
                <c:pt idx="66">
                  <c:v>99.470500000000001</c:v>
                </c:pt>
                <c:pt idx="67">
                  <c:v>99.36999999999999</c:v>
                </c:pt>
                <c:pt idx="68">
                  <c:v>99.324999999999989</c:v>
                </c:pt>
                <c:pt idx="69">
                  <c:v>99.274499999999989</c:v>
                </c:pt>
                <c:pt idx="70">
                  <c:v>99.178999999999988</c:v>
                </c:pt>
                <c:pt idx="71">
                  <c:v>99.248499999999993</c:v>
                </c:pt>
                <c:pt idx="72">
                  <c:v>99.268499999999989</c:v>
                </c:pt>
                <c:pt idx="73">
                  <c:v>99.367000000000004</c:v>
                </c:pt>
                <c:pt idx="74">
                  <c:v>99.474499999999992</c:v>
                </c:pt>
                <c:pt idx="75">
                  <c:v>99.589500000000001</c:v>
                </c:pt>
                <c:pt idx="76">
                  <c:v>99.794499999999999</c:v>
                </c:pt>
                <c:pt idx="77">
                  <c:v>99.97399999999999</c:v>
                </c:pt>
                <c:pt idx="78">
                  <c:v>100.16549999999999</c:v>
                </c:pt>
                <c:pt idx="79">
                  <c:v>100.3905</c:v>
                </c:pt>
                <c:pt idx="80">
                  <c:v>100.6155</c:v>
                </c:pt>
                <c:pt idx="81">
                  <c:v>100.8655</c:v>
                </c:pt>
                <c:pt idx="82">
                  <c:v>101.1155</c:v>
                </c:pt>
                <c:pt idx="83">
                  <c:v>101.34650000000001</c:v>
                </c:pt>
                <c:pt idx="84">
                  <c:v>101.62</c:v>
                </c:pt>
                <c:pt idx="85">
                  <c:v>101.86000000000001</c:v>
                </c:pt>
                <c:pt idx="86">
                  <c:v>102.10250000000001</c:v>
                </c:pt>
                <c:pt idx="87">
                  <c:v>102.0185</c:v>
                </c:pt>
                <c:pt idx="88">
                  <c:v>101.91350000000001</c:v>
                </c:pt>
                <c:pt idx="89">
                  <c:v>101.76400000000001</c:v>
                </c:pt>
                <c:pt idx="90">
                  <c:v>101.6135</c:v>
                </c:pt>
                <c:pt idx="91">
                  <c:v>101.369</c:v>
                </c:pt>
                <c:pt idx="92">
                  <c:v>101.1645</c:v>
                </c:pt>
                <c:pt idx="93">
                  <c:v>100.81100000000001</c:v>
                </c:pt>
                <c:pt idx="94">
                  <c:v>100.56699999999999</c:v>
                </c:pt>
                <c:pt idx="95">
                  <c:v>100.31699999999999</c:v>
                </c:pt>
                <c:pt idx="96">
                  <c:v>100.017</c:v>
                </c:pt>
                <c:pt idx="97">
                  <c:v>99.741500000000002</c:v>
                </c:pt>
                <c:pt idx="98">
                  <c:v>99.442000000000007</c:v>
                </c:pt>
                <c:pt idx="99">
                  <c:v>99.092000000000013</c:v>
                </c:pt>
                <c:pt idx="100">
                  <c:v>98.731999999999999</c:v>
                </c:pt>
                <c:pt idx="101">
                  <c:v>98.282000000000011</c:v>
                </c:pt>
                <c:pt idx="102">
                  <c:v>97.832000000000008</c:v>
                </c:pt>
                <c:pt idx="103">
                  <c:v>97.358500000000006</c:v>
                </c:pt>
                <c:pt idx="104">
                  <c:v>96.89500000000001</c:v>
                </c:pt>
                <c:pt idx="105">
                  <c:v>96.429999999999993</c:v>
                </c:pt>
                <c:pt idx="106">
                  <c:v>95.957499999999996</c:v>
                </c:pt>
                <c:pt idx="107">
                  <c:v>95.796499999999995</c:v>
                </c:pt>
                <c:pt idx="108">
                  <c:v>95.616</c:v>
                </c:pt>
                <c:pt idx="109">
                  <c:v>95.430999999999997</c:v>
                </c:pt>
                <c:pt idx="110">
                  <c:v>95.181999999999988</c:v>
                </c:pt>
                <c:pt idx="111">
                  <c:v>94.859499999999997</c:v>
                </c:pt>
                <c:pt idx="112">
                  <c:v>94.53949999999999</c:v>
                </c:pt>
                <c:pt idx="113">
                  <c:v>94.309499999999986</c:v>
                </c:pt>
                <c:pt idx="114">
                  <c:v>94.109499999999997</c:v>
                </c:pt>
                <c:pt idx="115">
                  <c:v>93.899000000000001</c:v>
                </c:pt>
                <c:pt idx="116">
                  <c:v>93.65</c:v>
                </c:pt>
                <c:pt idx="117">
                  <c:v>93.501000000000005</c:v>
                </c:pt>
                <c:pt idx="118">
                  <c:v>93.376000000000005</c:v>
                </c:pt>
                <c:pt idx="119">
                  <c:v>93.263500000000008</c:v>
                </c:pt>
                <c:pt idx="120">
                  <c:v>93.173500000000004</c:v>
                </c:pt>
                <c:pt idx="121">
                  <c:v>93.148499999999999</c:v>
                </c:pt>
                <c:pt idx="122">
                  <c:v>93.123499999999993</c:v>
                </c:pt>
                <c:pt idx="123">
                  <c:v>93.123500000000007</c:v>
                </c:pt>
                <c:pt idx="124">
                  <c:v>93.113500000000016</c:v>
                </c:pt>
                <c:pt idx="125">
                  <c:v>93.108500000000006</c:v>
                </c:pt>
                <c:pt idx="126">
                  <c:v>93.108500000000006</c:v>
                </c:pt>
                <c:pt idx="127">
                  <c:v>93.104500000000002</c:v>
                </c:pt>
                <c:pt idx="128">
                  <c:v>93.125</c:v>
                </c:pt>
                <c:pt idx="129">
                  <c:v>93.16</c:v>
                </c:pt>
                <c:pt idx="130">
                  <c:v>93.260000000000019</c:v>
                </c:pt>
                <c:pt idx="131">
                  <c:v>93.476500000000016</c:v>
                </c:pt>
                <c:pt idx="132">
                  <c:v>93.676500000000004</c:v>
                </c:pt>
                <c:pt idx="133">
                  <c:v>93.886500000000012</c:v>
                </c:pt>
                <c:pt idx="134">
                  <c:v>93.957000000000022</c:v>
                </c:pt>
                <c:pt idx="135">
                  <c:v>94.047500000000014</c:v>
                </c:pt>
                <c:pt idx="136">
                  <c:v>94.136500000000012</c:v>
                </c:pt>
                <c:pt idx="137">
                  <c:v>94.151499999999999</c:v>
                </c:pt>
                <c:pt idx="138">
                  <c:v>94.161500000000004</c:v>
                </c:pt>
                <c:pt idx="139">
                  <c:v>94.164000000000016</c:v>
                </c:pt>
                <c:pt idx="140">
                  <c:v>94.153999999999996</c:v>
                </c:pt>
                <c:pt idx="141">
                  <c:v>94.154000000000011</c:v>
                </c:pt>
                <c:pt idx="142">
                  <c:v>94.153999999999996</c:v>
                </c:pt>
                <c:pt idx="143">
                  <c:v>94.153999999999996</c:v>
                </c:pt>
                <c:pt idx="144">
                  <c:v>94.151499999999999</c:v>
                </c:pt>
                <c:pt idx="145">
                  <c:v>94.146500000000003</c:v>
                </c:pt>
                <c:pt idx="146">
                  <c:v>94.141500000000008</c:v>
                </c:pt>
                <c:pt idx="147">
                  <c:v>94.136500000000012</c:v>
                </c:pt>
                <c:pt idx="148">
                  <c:v>94.136500000000012</c:v>
                </c:pt>
                <c:pt idx="149">
                  <c:v>94.129000000000019</c:v>
                </c:pt>
                <c:pt idx="150">
                  <c:v>94.114000000000004</c:v>
                </c:pt>
                <c:pt idx="151">
                  <c:v>94.050000000000026</c:v>
                </c:pt>
                <c:pt idx="152">
                  <c:v>94.009000000000029</c:v>
                </c:pt>
                <c:pt idx="153">
                  <c:v>93.974000000000018</c:v>
                </c:pt>
                <c:pt idx="154">
                  <c:v>93.943500000000014</c:v>
                </c:pt>
                <c:pt idx="155">
                  <c:v>93.908500000000018</c:v>
                </c:pt>
                <c:pt idx="156">
                  <c:v>93.913500000000028</c:v>
                </c:pt>
                <c:pt idx="157">
                  <c:v>93.898500000000013</c:v>
                </c:pt>
                <c:pt idx="158">
                  <c:v>93.884500000000017</c:v>
                </c:pt>
                <c:pt idx="159">
                  <c:v>93.860000000000014</c:v>
                </c:pt>
                <c:pt idx="160">
                  <c:v>93.870000000000019</c:v>
                </c:pt>
                <c:pt idx="161">
                  <c:v>93.870000000000019</c:v>
                </c:pt>
                <c:pt idx="162">
                  <c:v>93.870000000000019</c:v>
                </c:pt>
                <c:pt idx="163">
                  <c:v>93.870000000000019</c:v>
                </c:pt>
                <c:pt idx="164">
                  <c:v>93.860000000000028</c:v>
                </c:pt>
                <c:pt idx="165">
                  <c:v>93.940000000000012</c:v>
                </c:pt>
                <c:pt idx="166">
                  <c:v>94.014500000000012</c:v>
                </c:pt>
                <c:pt idx="167">
                  <c:v>94.054500000000004</c:v>
                </c:pt>
                <c:pt idx="168">
                  <c:v>94.159500000000008</c:v>
                </c:pt>
                <c:pt idx="169">
                  <c:v>94.256500000000003</c:v>
                </c:pt>
                <c:pt idx="170">
                  <c:v>94.466500000000011</c:v>
                </c:pt>
                <c:pt idx="171">
                  <c:v>94.666000000000011</c:v>
                </c:pt>
                <c:pt idx="172">
                  <c:v>94.866000000000014</c:v>
                </c:pt>
                <c:pt idx="173">
                  <c:v>95.125500000000017</c:v>
                </c:pt>
                <c:pt idx="174">
                  <c:v>95.486000000000018</c:v>
                </c:pt>
                <c:pt idx="175">
                  <c:v>95.841000000000022</c:v>
                </c:pt>
                <c:pt idx="176">
                  <c:v>96.196000000000012</c:v>
                </c:pt>
                <c:pt idx="177">
                  <c:v>96.546000000000021</c:v>
                </c:pt>
                <c:pt idx="178">
                  <c:v>96.892000000000024</c:v>
                </c:pt>
                <c:pt idx="179">
                  <c:v>97.268500000000003</c:v>
                </c:pt>
                <c:pt idx="180">
                  <c:v>97.663500000000013</c:v>
                </c:pt>
                <c:pt idx="181">
                  <c:v>98.111000000000018</c:v>
                </c:pt>
                <c:pt idx="182">
                  <c:v>98.590999999999994</c:v>
                </c:pt>
                <c:pt idx="183">
                  <c:v>99.040999999999997</c:v>
                </c:pt>
                <c:pt idx="184">
                  <c:v>99.503500000000003</c:v>
                </c:pt>
                <c:pt idx="185">
                  <c:v>99.875500000000002</c:v>
                </c:pt>
                <c:pt idx="186">
                  <c:v>100.206</c:v>
                </c:pt>
                <c:pt idx="187">
                  <c:v>100.60550000000001</c:v>
                </c:pt>
                <c:pt idx="188">
                  <c:v>100.905</c:v>
                </c:pt>
                <c:pt idx="189">
                  <c:v>101.16550000000001</c:v>
                </c:pt>
                <c:pt idx="190">
                  <c:v>101.34050000000001</c:v>
                </c:pt>
                <c:pt idx="191">
                  <c:v>101.52600000000001</c:v>
                </c:pt>
                <c:pt idx="192">
                  <c:v>101.74050000000003</c:v>
                </c:pt>
                <c:pt idx="193">
                  <c:v>101.89300000000003</c:v>
                </c:pt>
                <c:pt idx="194">
                  <c:v>101.89800000000001</c:v>
                </c:pt>
                <c:pt idx="195">
                  <c:v>101.90300000000001</c:v>
                </c:pt>
                <c:pt idx="196">
                  <c:v>101.9055</c:v>
                </c:pt>
                <c:pt idx="197">
                  <c:v>101.908</c:v>
                </c:pt>
                <c:pt idx="198">
                  <c:v>102.006</c:v>
                </c:pt>
                <c:pt idx="199">
                  <c:v>102.134</c:v>
                </c:pt>
                <c:pt idx="200">
                  <c:v>102.224</c:v>
                </c:pt>
                <c:pt idx="201">
                  <c:v>102.2465</c:v>
                </c:pt>
                <c:pt idx="202">
                  <c:v>102.26149999999998</c:v>
                </c:pt>
                <c:pt idx="203">
                  <c:v>102.309</c:v>
                </c:pt>
                <c:pt idx="204">
                  <c:v>102.369</c:v>
                </c:pt>
                <c:pt idx="205">
                  <c:v>102.49600000000001</c:v>
                </c:pt>
                <c:pt idx="206">
                  <c:v>102.66600000000001</c:v>
                </c:pt>
                <c:pt idx="207">
                  <c:v>102.8065</c:v>
                </c:pt>
                <c:pt idx="208">
                  <c:v>103.05400000000002</c:v>
                </c:pt>
                <c:pt idx="209">
                  <c:v>103.37899999999999</c:v>
                </c:pt>
                <c:pt idx="210">
                  <c:v>103.70900000000002</c:v>
                </c:pt>
                <c:pt idx="211">
                  <c:v>104.069</c:v>
                </c:pt>
                <c:pt idx="212">
                  <c:v>104.4105</c:v>
                </c:pt>
                <c:pt idx="213">
                  <c:v>104.54052631578948</c:v>
                </c:pt>
                <c:pt idx="214">
                  <c:v>104.73166666666667</c:v>
                </c:pt>
                <c:pt idx="215">
                  <c:v>104.94529411764705</c:v>
                </c:pt>
                <c:pt idx="216">
                  <c:v>105.18875</c:v>
                </c:pt>
                <c:pt idx="217">
                  <c:v>105.46466666666667</c:v>
                </c:pt>
                <c:pt idx="218">
                  <c:v>105.65499999999999</c:v>
                </c:pt>
                <c:pt idx="219">
                  <c:v>105.7976923076923</c:v>
                </c:pt>
                <c:pt idx="220">
                  <c:v>105.97249999999998</c:v>
                </c:pt>
                <c:pt idx="221">
                  <c:v>106.20636363636363</c:v>
                </c:pt>
                <c:pt idx="222">
                  <c:v>106.43700000000001</c:v>
                </c:pt>
                <c:pt idx="223">
                  <c:v>106.71333333333332</c:v>
                </c:pt>
                <c:pt idx="224">
                  <c:v>107.02749999999999</c:v>
                </c:pt>
                <c:pt idx="225">
                  <c:v>107.24857142857142</c:v>
                </c:pt>
                <c:pt idx="226">
                  <c:v>107.55666666666666</c:v>
                </c:pt>
                <c:pt idx="227">
                  <c:v>107.96799999999999</c:v>
                </c:pt>
                <c:pt idx="228">
                  <c:v>108.22500000000001</c:v>
                </c:pt>
                <c:pt idx="229">
                  <c:v>108.46666666666665</c:v>
                </c:pt>
                <c:pt idx="230">
                  <c:v>108.69999999999999</c:v>
                </c:pt>
                <c:pt idx="231">
                  <c:v>108.8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1-425C-92E7-100748748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890944"/>
        <c:axId val="748887584"/>
      </c:lineChart>
      <c:dateAx>
        <c:axId val="7488909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87584"/>
        <c:crosses val="autoZero"/>
        <c:auto val="1"/>
        <c:lblOffset val="100"/>
        <c:baseTimeUnit val="days"/>
      </c:dateAx>
      <c:valAx>
        <c:axId val="748887584"/>
        <c:scaling>
          <c:orientation val="minMax"/>
          <c:min val="8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9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Stocks'!$B$1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Stocks'!$B$2:$B$418</c:f>
              <c:numCache>
                <c:formatCode>General</c:formatCode>
                <c:ptCount val="417"/>
                <c:pt idx="0">
                  <c:v>93.9</c:v>
                </c:pt>
                <c:pt idx="1">
                  <c:v>93.5</c:v>
                </c:pt>
                <c:pt idx="2">
                  <c:v>93.69</c:v>
                </c:pt>
                <c:pt idx="3">
                  <c:v>93.5</c:v>
                </c:pt>
                <c:pt idx="4">
                  <c:v>93.7</c:v>
                </c:pt>
                <c:pt idx="5">
                  <c:v>93.99</c:v>
                </c:pt>
                <c:pt idx="6">
                  <c:v>93.99</c:v>
                </c:pt>
                <c:pt idx="7">
                  <c:v>94</c:v>
                </c:pt>
                <c:pt idx="8">
                  <c:v>94.99</c:v>
                </c:pt>
                <c:pt idx="9">
                  <c:v>97</c:v>
                </c:pt>
                <c:pt idx="10">
                  <c:v>96.85</c:v>
                </c:pt>
                <c:pt idx="11">
                  <c:v>96.5</c:v>
                </c:pt>
                <c:pt idx="12">
                  <c:v>96.5</c:v>
                </c:pt>
                <c:pt idx="13">
                  <c:v>97</c:v>
                </c:pt>
                <c:pt idx="14">
                  <c:v>96.8</c:v>
                </c:pt>
                <c:pt idx="15">
                  <c:v>98.4</c:v>
                </c:pt>
                <c:pt idx="16">
                  <c:v>98.9</c:v>
                </c:pt>
                <c:pt idx="17">
                  <c:v>98</c:v>
                </c:pt>
                <c:pt idx="18">
                  <c:v>97.8</c:v>
                </c:pt>
                <c:pt idx="19">
                  <c:v>97.4</c:v>
                </c:pt>
                <c:pt idx="20">
                  <c:v>97.7</c:v>
                </c:pt>
                <c:pt idx="21">
                  <c:v>97</c:v>
                </c:pt>
                <c:pt idx="22">
                  <c:v>97</c:v>
                </c:pt>
                <c:pt idx="23">
                  <c:v>96.98</c:v>
                </c:pt>
                <c:pt idx="24">
                  <c:v>96.9</c:v>
                </c:pt>
                <c:pt idx="25">
                  <c:v>96.45</c:v>
                </c:pt>
                <c:pt idx="26">
                  <c:v>96.99</c:v>
                </c:pt>
                <c:pt idx="27">
                  <c:v>97.4</c:v>
                </c:pt>
                <c:pt idx="28">
                  <c:v>97.03</c:v>
                </c:pt>
                <c:pt idx="29">
                  <c:v>97.15</c:v>
                </c:pt>
                <c:pt idx="30">
                  <c:v>97.4</c:v>
                </c:pt>
                <c:pt idx="31">
                  <c:v>97.5</c:v>
                </c:pt>
                <c:pt idx="32">
                  <c:v>97.5</c:v>
                </c:pt>
                <c:pt idx="33">
                  <c:v>98.5</c:v>
                </c:pt>
                <c:pt idx="34">
                  <c:v>98.89</c:v>
                </c:pt>
                <c:pt idx="35">
                  <c:v>98.9</c:v>
                </c:pt>
                <c:pt idx="36">
                  <c:v>99.5</c:v>
                </c:pt>
                <c:pt idx="37">
                  <c:v>99</c:v>
                </c:pt>
                <c:pt idx="38">
                  <c:v>98.71</c:v>
                </c:pt>
                <c:pt idx="39">
                  <c:v>98.9</c:v>
                </c:pt>
                <c:pt idx="40">
                  <c:v>99.7</c:v>
                </c:pt>
                <c:pt idx="41">
                  <c:v>99.9</c:v>
                </c:pt>
                <c:pt idx="42">
                  <c:v>101</c:v>
                </c:pt>
                <c:pt idx="43">
                  <c:v>103.5</c:v>
                </c:pt>
                <c:pt idx="44">
                  <c:v>103</c:v>
                </c:pt>
                <c:pt idx="45">
                  <c:v>103.25</c:v>
                </c:pt>
                <c:pt idx="46">
                  <c:v>101</c:v>
                </c:pt>
                <c:pt idx="47">
                  <c:v>100.99</c:v>
                </c:pt>
                <c:pt idx="48">
                  <c:v>100.1</c:v>
                </c:pt>
                <c:pt idx="49">
                  <c:v>101</c:v>
                </c:pt>
                <c:pt idx="50">
                  <c:v>101.9</c:v>
                </c:pt>
                <c:pt idx="51">
                  <c:v>100.6</c:v>
                </c:pt>
                <c:pt idx="52">
                  <c:v>100.59</c:v>
                </c:pt>
                <c:pt idx="53">
                  <c:v>99.9</c:v>
                </c:pt>
                <c:pt idx="54">
                  <c:v>99.72</c:v>
                </c:pt>
                <c:pt idx="55">
                  <c:v>99.7</c:v>
                </c:pt>
                <c:pt idx="56">
                  <c:v>98.9</c:v>
                </c:pt>
                <c:pt idx="57">
                  <c:v>98.9</c:v>
                </c:pt>
                <c:pt idx="58">
                  <c:v>98.66</c:v>
                </c:pt>
                <c:pt idx="59">
                  <c:v>98.9</c:v>
                </c:pt>
                <c:pt idx="60">
                  <c:v>98.5</c:v>
                </c:pt>
                <c:pt idx="61">
                  <c:v>98.5</c:v>
                </c:pt>
                <c:pt idx="62">
                  <c:v>98.5</c:v>
                </c:pt>
                <c:pt idx="63">
                  <c:v>98.85</c:v>
                </c:pt>
                <c:pt idx="64">
                  <c:v>98</c:v>
                </c:pt>
                <c:pt idx="65">
                  <c:v>98.6</c:v>
                </c:pt>
                <c:pt idx="66">
                  <c:v>98.6</c:v>
                </c:pt>
                <c:pt idx="67">
                  <c:v>98.98</c:v>
                </c:pt>
                <c:pt idx="68">
                  <c:v>99.2</c:v>
                </c:pt>
                <c:pt idx="69">
                  <c:v>99.99</c:v>
                </c:pt>
                <c:pt idx="70">
                  <c:v>99.99</c:v>
                </c:pt>
                <c:pt idx="71">
                  <c:v>101.99</c:v>
                </c:pt>
                <c:pt idx="72">
                  <c:v>100.99</c:v>
                </c:pt>
                <c:pt idx="73">
                  <c:v>101.87</c:v>
                </c:pt>
                <c:pt idx="74">
                  <c:v>101.87</c:v>
                </c:pt>
                <c:pt idx="75">
                  <c:v>102</c:v>
                </c:pt>
                <c:pt idx="76">
                  <c:v>103</c:v>
                </c:pt>
                <c:pt idx="77">
                  <c:v>102.49</c:v>
                </c:pt>
                <c:pt idx="78">
                  <c:v>102.49</c:v>
                </c:pt>
                <c:pt idx="79">
                  <c:v>103.4</c:v>
                </c:pt>
                <c:pt idx="80">
                  <c:v>103</c:v>
                </c:pt>
                <c:pt idx="81">
                  <c:v>103.5</c:v>
                </c:pt>
                <c:pt idx="82">
                  <c:v>103.5</c:v>
                </c:pt>
                <c:pt idx="83">
                  <c:v>103.47</c:v>
                </c:pt>
                <c:pt idx="84">
                  <c:v>103.47</c:v>
                </c:pt>
                <c:pt idx="85">
                  <c:v>103.4</c:v>
                </c:pt>
                <c:pt idx="86">
                  <c:v>103.45</c:v>
                </c:pt>
                <c:pt idx="87">
                  <c:v>97.3</c:v>
                </c:pt>
                <c:pt idx="88">
                  <c:v>97.1</c:v>
                </c:pt>
                <c:pt idx="89">
                  <c:v>97</c:v>
                </c:pt>
                <c:pt idx="90">
                  <c:v>96.98</c:v>
                </c:pt>
                <c:pt idx="91">
                  <c:v>97.1</c:v>
                </c:pt>
                <c:pt idx="92">
                  <c:v>96.9</c:v>
                </c:pt>
                <c:pt idx="93">
                  <c:v>94.8</c:v>
                </c:pt>
                <c:pt idx="94">
                  <c:v>96.99</c:v>
                </c:pt>
                <c:pt idx="95">
                  <c:v>97</c:v>
                </c:pt>
                <c:pt idx="96">
                  <c:v>97</c:v>
                </c:pt>
                <c:pt idx="97">
                  <c:v>96.98</c:v>
                </c:pt>
                <c:pt idx="98">
                  <c:v>96.5</c:v>
                </c:pt>
                <c:pt idx="99">
                  <c:v>96.4</c:v>
                </c:pt>
                <c:pt idx="100">
                  <c:v>95.8</c:v>
                </c:pt>
                <c:pt idx="101">
                  <c:v>94.5</c:v>
                </c:pt>
                <c:pt idx="102">
                  <c:v>94.5</c:v>
                </c:pt>
                <c:pt idx="103">
                  <c:v>94</c:v>
                </c:pt>
                <c:pt idx="104">
                  <c:v>94.2</c:v>
                </c:pt>
                <c:pt idx="105">
                  <c:v>94.1</c:v>
                </c:pt>
                <c:pt idx="106">
                  <c:v>94</c:v>
                </c:pt>
                <c:pt idx="107">
                  <c:v>94.08</c:v>
                </c:pt>
                <c:pt idx="108">
                  <c:v>93.49</c:v>
                </c:pt>
                <c:pt idx="109">
                  <c:v>93.3</c:v>
                </c:pt>
                <c:pt idx="110">
                  <c:v>92</c:v>
                </c:pt>
                <c:pt idx="111">
                  <c:v>90.65</c:v>
                </c:pt>
                <c:pt idx="112">
                  <c:v>90.5</c:v>
                </c:pt>
                <c:pt idx="113">
                  <c:v>90.2</c:v>
                </c:pt>
                <c:pt idx="114">
                  <c:v>92.99</c:v>
                </c:pt>
                <c:pt idx="115">
                  <c:v>92.79</c:v>
                </c:pt>
                <c:pt idx="116">
                  <c:v>92.02</c:v>
                </c:pt>
                <c:pt idx="117">
                  <c:v>94</c:v>
                </c:pt>
                <c:pt idx="118">
                  <c:v>94</c:v>
                </c:pt>
                <c:pt idx="119">
                  <c:v>94.15</c:v>
                </c:pt>
                <c:pt idx="120">
                  <c:v>94</c:v>
                </c:pt>
                <c:pt idx="121">
                  <c:v>94</c:v>
                </c:pt>
                <c:pt idx="122">
                  <c:v>94</c:v>
                </c:pt>
                <c:pt idx="123">
                  <c:v>94</c:v>
                </c:pt>
                <c:pt idx="124">
                  <c:v>94</c:v>
                </c:pt>
                <c:pt idx="125">
                  <c:v>94</c:v>
                </c:pt>
                <c:pt idx="126">
                  <c:v>94</c:v>
                </c:pt>
                <c:pt idx="127">
                  <c:v>94</c:v>
                </c:pt>
                <c:pt idx="128">
                  <c:v>93.9</c:v>
                </c:pt>
                <c:pt idx="129">
                  <c:v>94</c:v>
                </c:pt>
                <c:pt idx="130">
                  <c:v>94</c:v>
                </c:pt>
                <c:pt idx="131">
                  <c:v>94.98</c:v>
                </c:pt>
                <c:pt idx="132">
                  <c:v>94.5</c:v>
                </c:pt>
                <c:pt idx="133">
                  <c:v>94.4</c:v>
                </c:pt>
                <c:pt idx="134">
                  <c:v>94.4</c:v>
                </c:pt>
                <c:pt idx="135">
                  <c:v>94.6</c:v>
                </c:pt>
                <c:pt idx="136">
                  <c:v>93.8</c:v>
                </c:pt>
                <c:pt idx="137">
                  <c:v>94.3</c:v>
                </c:pt>
                <c:pt idx="138">
                  <c:v>94.2</c:v>
                </c:pt>
                <c:pt idx="139">
                  <c:v>94.2</c:v>
                </c:pt>
                <c:pt idx="140">
                  <c:v>93.8</c:v>
                </c:pt>
                <c:pt idx="141">
                  <c:v>94</c:v>
                </c:pt>
                <c:pt idx="142">
                  <c:v>94</c:v>
                </c:pt>
                <c:pt idx="143">
                  <c:v>94</c:v>
                </c:pt>
                <c:pt idx="144">
                  <c:v>93.95</c:v>
                </c:pt>
                <c:pt idx="145">
                  <c:v>93.9</c:v>
                </c:pt>
                <c:pt idx="146">
                  <c:v>93.9</c:v>
                </c:pt>
                <c:pt idx="147">
                  <c:v>93.9</c:v>
                </c:pt>
                <c:pt idx="148">
                  <c:v>93.9</c:v>
                </c:pt>
                <c:pt idx="149">
                  <c:v>93.85</c:v>
                </c:pt>
                <c:pt idx="150">
                  <c:v>93.7</c:v>
                </c:pt>
                <c:pt idx="151">
                  <c:v>93.7</c:v>
                </c:pt>
                <c:pt idx="152">
                  <c:v>93.68</c:v>
                </c:pt>
                <c:pt idx="153">
                  <c:v>93.7</c:v>
                </c:pt>
                <c:pt idx="154">
                  <c:v>93.79</c:v>
                </c:pt>
                <c:pt idx="155">
                  <c:v>93.9</c:v>
                </c:pt>
                <c:pt idx="156">
                  <c:v>93.9</c:v>
                </c:pt>
                <c:pt idx="157">
                  <c:v>94</c:v>
                </c:pt>
                <c:pt idx="158">
                  <c:v>93.92</c:v>
                </c:pt>
                <c:pt idx="159">
                  <c:v>93.71</c:v>
                </c:pt>
                <c:pt idx="160">
                  <c:v>94</c:v>
                </c:pt>
                <c:pt idx="161">
                  <c:v>94</c:v>
                </c:pt>
                <c:pt idx="162">
                  <c:v>94</c:v>
                </c:pt>
                <c:pt idx="163">
                  <c:v>94</c:v>
                </c:pt>
                <c:pt idx="164">
                  <c:v>93.75</c:v>
                </c:pt>
                <c:pt idx="165">
                  <c:v>95.5</c:v>
                </c:pt>
                <c:pt idx="166">
                  <c:v>95.39</c:v>
                </c:pt>
                <c:pt idx="167">
                  <c:v>94.7</c:v>
                </c:pt>
                <c:pt idx="168">
                  <c:v>96</c:v>
                </c:pt>
                <c:pt idx="169">
                  <c:v>95.79</c:v>
                </c:pt>
                <c:pt idx="170">
                  <c:v>97.9</c:v>
                </c:pt>
                <c:pt idx="171">
                  <c:v>97.69</c:v>
                </c:pt>
                <c:pt idx="172">
                  <c:v>97.68</c:v>
                </c:pt>
                <c:pt idx="173">
                  <c:v>98.89</c:v>
                </c:pt>
                <c:pt idx="174">
                  <c:v>101</c:v>
                </c:pt>
                <c:pt idx="175">
                  <c:v>101</c:v>
                </c:pt>
                <c:pt idx="176">
                  <c:v>101</c:v>
                </c:pt>
                <c:pt idx="177">
                  <c:v>101</c:v>
                </c:pt>
                <c:pt idx="178">
                  <c:v>100.84</c:v>
                </c:pt>
                <c:pt idx="179">
                  <c:v>101.24</c:v>
                </c:pt>
                <c:pt idx="180">
                  <c:v>101.9</c:v>
                </c:pt>
                <c:pt idx="181">
                  <c:v>102.95</c:v>
                </c:pt>
                <c:pt idx="182">
                  <c:v>103.6</c:v>
                </c:pt>
                <c:pt idx="183">
                  <c:v>103</c:v>
                </c:pt>
                <c:pt idx="184">
                  <c:v>103</c:v>
                </c:pt>
                <c:pt idx="185">
                  <c:v>102.94</c:v>
                </c:pt>
                <c:pt idx="186">
                  <c:v>102</c:v>
                </c:pt>
                <c:pt idx="187">
                  <c:v>102.69</c:v>
                </c:pt>
                <c:pt idx="188">
                  <c:v>101.99</c:v>
                </c:pt>
                <c:pt idx="189">
                  <c:v>101</c:v>
                </c:pt>
                <c:pt idx="190">
                  <c:v>101.4</c:v>
                </c:pt>
                <c:pt idx="191">
                  <c:v>101.4</c:v>
                </c:pt>
                <c:pt idx="192">
                  <c:v>101.97</c:v>
                </c:pt>
                <c:pt idx="193">
                  <c:v>101.94</c:v>
                </c:pt>
                <c:pt idx="194">
                  <c:v>101.1</c:v>
                </c:pt>
                <c:pt idx="195">
                  <c:v>101.1</c:v>
                </c:pt>
                <c:pt idx="196">
                  <c:v>101.05</c:v>
                </c:pt>
                <c:pt idx="197">
                  <c:v>101.05</c:v>
                </c:pt>
                <c:pt idx="198">
                  <c:v>102.8</c:v>
                </c:pt>
                <c:pt idx="199">
                  <c:v>103.8</c:v>
                </c:pt>
                <c:pt idx="200">
                  <c:v>103.7</c:v>
                </c:pt>
                <c:pt idx="201">
                  <c:v>103.4</c:v>
                </c:pt>
                <c:pt idx="202">
                  <c:v>103.9</c:v>
                </c:pt>
                <c:pt idx="203">
                  <c:v>103.95</c:v>
                </c:pt>
                <c:pt idx="204">
                  <c:v>104.2</c:v>
                </c:pt>
                <c:pt idx="205">
                  <c:v>105.48</c:v>
                </c:pt>
                <c:pt idx="206">
                  <c:v>105.4</c:v>
                </c:pt>
                <c:pt idx="207">
                  <c:v>105.5</c:v>
                </c:pt>
                <c:pt idx="208">
                  <c:v>106.94</c:v>
                </c:pt>
                <c:pt idx="209">
                  <c:v>107.5</c:v>
                </c:pt>
                <c:pt idx="210">
                  <c:v>108</c:v>
                </c:pt>
                <c:pt idx="211">
                  <c:v>108.6</c:v>
                </c:pt>
                <c:pt idx="212">
                  <c:v>108.8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96-4836-86D1-F93D58853B46}"/>
            </c:ext>
          </c:extLst>
        </c:ser>
        <c:ser>
          <c:idx val="1"/>
          <c:order val="1"/>
          <c:tx>
            <c:strRef>
              <c:f>'Tunisia Stocks'!$I$1</c:f>
              <c:strCache>
                <c:ptCount val="1"/>
                <c:pt idx="0">
                  <c:v> 50 Day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Stocks'!$I$2:$I$418</c:f>
              <c:numCache>
                <c:formatCode>_(* #,##0.00_);_(* \(#,##0.00\);_(* "-"??_);_(@_)</c:formatCode>
                <c:ptCount val="417"/>
                <c:pt idx="49">
                  <c:v>97.704999999999998</c:v>
                </c:pt>
                <c:pt idx="50">
                  <c:v>97.864999999999995</c:v>
                </c:pt>
                <c:pt idx="51">
                  <c:v>98.007000000000005</c:v>
                </c:pt>
                <c:pt idx="52">
                  <c:v>98.144999999999996</c:v>
                </c:pt>
                <c:pt idx="53">
                  <c:v>98.27300000000001</c:v>
                </c:pt>
                <c:pt idx="54">
                  <c:v>98.393400000000014</c:v>
                </c:pt>
                <c:pt idx="55">
                  <c:v>98.507600000000025</c:v>
                </c:pt>
                <c:pt idx="56">
                  <c:v>98.605800000000002</c:v>
                </c:pt>
                <c:pt idx="57">
                  <c:v>98.703799999999973</c:v>
                </c:pt>
                <c:pt idx="58">
                  <c:v>98.777199999999979</c:v>
                </c:pt>
                <c:pt idx="59">
                  <c:v>98.81519999999999</c:v>
                </c:pt>
                <c:pt idx="60">
                  <c:v>98.848199999999963</c:v>
                </c:pt>
                <c:pt idx="61">
                  <c:v>98.888199999999983</c:v>
                </c:pt>
                <c:pt idx="62">
                  <c:v>98.928199999999975</c:v>
                </c:pt>
                <c:pt idx="63">
                  <c:v>98.965199999999982</c:v>
                </c:pt>
                <c:pt idx="64">
                  <c:v>98.989199999999983</c:v>
                </c:pt>
                <c:pt idx="65">
                  <c:v>98.993200000000002</c:v>
                </c:pt>
                <c:pt idx="66">
                  <c:v>98.98720000000003</c:v>
                </c:pt>
                <c:pt idx="67">
                  <c:v>99.006799999999998</c:v>
                </c:pt>
                <c:pt idx="68">
                  <c:v>99.034800000000018</c:v>
                </c:pt>
                <c:pt idx="69">
                  <c:v>99.086600000000018</c:v>
                </c:pt>
                <c:pt idx="70">
                  <c:v>99.132400000000004</c:v>
                </c:pt>
                <c:pt idx="71">
                  <c:v>99.232199999999992</c:v>
                </c:pt>
                <c:pt idx="72">
                  <c:v>99.311999999999983</c:v>
                </c:pt>
                <c:pt idx="73">
                  <c:v>99.409799999999976</c:v>
                </c:pt>
                <c:pt idx="74">
                  <c:v>99.509199999999964</c:v>
                </c:pt>
                <c:pt idx="75">
                  <c:v>99.620199999999969</c:v>
                </c:pt>
                <c:pt idx="76">
                  <c:v>99.740399999999966</c:v>
                </c:pt>
                <c:pt idx="77">
                  <c:v>99.842199999999977</c:v>
                </c:pt>
                <c:pt idx="78">
                  <c:v>99.951399999999978</c:v>
                </c:pt>
                <c:pt idx="79">
                  <c:v>100.07639999999996</c:v>
                </c:pt>
                <c:pt idx="80">
                  <c:v>100.18839999999996</c:v>
                </c:pt>
                <c:pt idx="81">
                  <c:v>100.30839999999995</c:v>
                </c:pt>
                <c:pt idx="82">
                  <c:v>100.42839999999995</c:v>
                </c:pt>
                <c:pt idx="83">
                  <c:v>100.52779999999996</c:v>
                </c:pt>
                <c:pt idx="84">
                  <c:v>100.61939999999997</c:v>
                </c:pt>
                <c:pt idx="85">
                  <c:v>100.70939999999995</c:v>
                </c:pt>
                <c:pt idx="86">
                  <c:v>100.78839999999997</c:v>
                </c:pt>
                <c:pt idx="87">
                  <c:v>100.75439999999998</c:v>
                </c:pt>
                <c:pt idx="88">
                  <c:v>100.72219999999997</c:v>
                </c:pt>
                <c:pt idx="89">
                  <c:v>100.68419999999998</c:v>
                </c:pt>
                <c:pt idx="90">
                  <c:v>100.62979999999996</c:v>
                </c:pt>
                <c:pt idx="91">
                  <c:v>100.57379999999998</c:v>
                </c:pt>
                <c:pt idx="92">
                  <c:v>100.49179999999997</c:v>
                </c:pt>
                <c:pt idx="93">
                  <c:v>100.31779999999995</c:v>
                </c:pt>
                <c:pt idx="94">
                  <c:v>100.19759999999997</c:v>
                </c:pt>
                <c:pt idx="95">
                  <c:v>100.07259999999997</c:v>
                </c:pt>
                <c:pt idx="96">
                  <c:v>99.992599999999953</c:v>
                </c:pt>
                <c:pt idx="97">
                  <c:v>99.912399999999948</c:v>
                </c:pt>
                <c:pt idx="98">
                  <c:v>99.84039999999996</c:v>
                </c:pt>
                <c:pt idx="99">
                  <c:v>99.748399999999947</c:v>
                </c:pt>
                <c:pt idx="100">
                  <c:v>99.626399999999961</c:v>
                </c:pt>
                <c:pt idx="101">
                  <c:v>99.504399999999947</c:v>
                </c:pt>
                <c:pt idx="102">
                  <c:v>99.382599999999968</c:v>
                </c:pt>
                <c:pt idx="103">
                  <c:v>99.264599999999973</c:v>
                </c:pt>
                <c:pt idx="104">
                  <c:v>99.15419999999996</c:v>
                </c:pt>
                <c:pt idx="105">
                  <c:v>99.04219999999998</c:v>
                </c:pt>
                <c:pt idx="106">
                  <c:v>98.944199999999981</c:v>
                </c:pt>
                <c:pt idx="107">
                  <c:v>98.847799999999992</c:v>
                </c:pt>
                <c:pt idx="108">
                  <c:v>98.744399999999985</c:v>
                </c:pt>
                <c:pt idx="109">
                  <c:v>98.632400000000004</c:v>
                </c:pt>
                <c:pt idx="110">
                  <c:v>98.502399999999994</c:v>
                </c:pt>
                <c:pt idx="111">
                  <c:v>98.345399999999984</c:v>
                </c:pt>
                <c:pt idx="112">
                  <c:v>98.185399999999987</c:v>
                </c:pt>
                <c:pt idx="113">
                  <c:v>98.0124</c:v>
                </c:pt>
                <c:pt idx="114">
                  <c:v>97.91219999999997</c:v>
                </c:pt>
                <c:pt idx="115">
                  <c:v>97.795999999999992</c:v>
                </c:pt>
                <c:pt idx="116">
                  <c:v>97.664400000000001</c:v>
                </c:pt>
                <c:pt idx="117">
                  <c:v>97.564799999999991</c:v>
                </c:pt>
                <c:pt idx="118">
                  <c:v>97.460800000000006</c:v>
                </c:pt>
                <c:pt idx="119">
                  <c:v>97.343999999999994</c:v>
                </c:pt>
                <c:pt idx="120">
                  <c:v>97.224199999999982</c:v>
                </c:pt>
                <c:pt idx="121">
                  <c:v>97.064400000000006</c:v>
                </c:pt>
                <c:pt idx="122">
                  <c:v>96.924599999999998</c:v>
                </c:pt>
                <c:pt idx="123">
                  <c:v>96.767199999999988</c:v>
                </c:pt>
                <c:pt idx="124">
                  <c:v>96.609799999999993</c:v>
                </c:pt>
                <c:pt idx="125">
                  <c:v>96.449799999999996</c:v>
                </c:pt>
                <c:pt idx="126">
                  <c:v>96.269799999999975</c:v>
                </c:pt>
                <c:pt idx="127">
                  <c:v>96.1</c:v>
                </c:pt>
                <c:pt idx="128">
                  <c:v>95.928200000000004</c:v>
                </c:pt>
                <c:pt idx="129">
                  <c:v>95.740199999999987</c:v>
                </c:pt>
                <c:pt idx="130">
                  <c:v>95.56019999999998</c:v>
                </c:pt>
                <c:pt idx="131">
                  <c:v>95.38979999999998</c:v>
                </c:pt>
                <c:pt idx="132">
                  <c:v>95.209799999999973</c:v>
                </c:pt>
                <c:pt idx="133">
                  <c:v>95.028399999999962</c:v>
                </c:pt>
                <c:pt idx="134">
                  <c:v>94.846999999999966</c:v>
                </c:pt>
                <c:pt idx="135">
                  <c:v>94.670999999999992</c:v>
                </c:pt>
                <c:pt idx="136">
                  <c:v>94.47799999999998</c:v>
                </c:pt>
                <c:pt idx="137">
                  <c:v>94.417999999999992</c:v>
                </c:pt>
                <c:pt idx="138">
                  <c:v>94.359999999999985</c:v>
                </c:pt>
                <c:pt idx="139">
                  <c:v>94.304000000000002</c:v>
                </c:pt>
                <c:pt idx="140">
                  <c:v>94.240400000000008</c:v>
                </c:pt>
                <c:pt idx="141">
                  <c:v>94.178399999999996</c:v>
                </c:pt>
                <c:pt idx="142">
                  <c:v>94.120399999999989</c:v>
                </c:pt>
                <c:pt idx="143">
                  <c:v>94.104399999999998</c:v>
                </c:pt>
                <c:pt idx="144">
                  <c:v>94.043600000000012</c:v>
                </c:pt>
                <c:pt idx="145">
                  <c:v>93.9816</c:v>
                </c:pt>
                <c:pt idx="146">
                  <c:v>93.919599999999988</c:v>
                </c:pt>
                <c:pt idx="147">
                  <c:v>93.857999999999976</c:v>
                </c:pt>
                <c:pt idx="148">
                  <c:v>93.805999999999969</c:v>
                </c:pt>
                <c:pt idx="149">
                  <c:v>93.754999999999981</c:v>
                </c:pt>
                <c:pt idx="150">
                  <c:v>93.712999999999994</c:v>
                </c:pt>
                <c:pt idx="151">
                  <c:v>93.696999999999989</c:v>
                </c:pt>
                <c:pt idx="152">
                  <c:v>93.680599999999998</c:v>
                </c:pt>
                <c:pt idx="153">
                  <c:v>93.674600000000012</c:v>
                </c:pt>
                <c:pt idx="154">
                  <c:v>93.66640000000001</c:v>
                </c:pt>
                <c:pt idx="155">
                  <c:v>93.662399999999991</c:v>
                </c:pt>
                <c:pt idx="156">
                  <c:v>93.660399999999996</c:v>
                </c:pt>
                <c:pt idx="157">
                  <c:v>93.658799999999985</c:v>
                </c:pt>
                <c:pt idx="158">
                  <c:v>93.667399999999986</c:v>
                </c:pt>
                <c:pt idx="159">
                  <c:v>93.675599999999974</c:v>
                </c:pt>
                <c:pt idx="160">
                  <c:v>93.715599999999995</c:v>
                </c:pt>
                <c:pt idx="161">
                  <c:v>93.782599999999988</c:v>
                </c:pt>
                <c:pt idx="162">
                  <c:v>93.852599999999995</c:v>
                </c:pt>
                <c:pt idx="163">
                  <c:v>93.928600000000003</c:v>
                </c:pt>
                <c:pt idx="164">
                  <c:v>93.943799999999996</c:v>
                </c:pt>
                <c:pt idx="165">
                  <c:v>93.99799999999999</c:v>
                </c:pt>
                <c:pt idx="166">
                  <c:v>94.065399999999997</c:v>
                </c:pt>
                <c:pt idx="167">
                  <c:v>94.079399999999993</c:v>
                </c:pt>
                <c:pt idx="168">
                  <c:v>94.119399999999985</c:v>
                </c:pt>
                <c:pt idx="169">
                  <c:v>94.152199999999993</c:v>
                </c:pt>
                <c:pt idx="170">
                  <c:v>94.230199999999982</c:v>
                </c:pt>
                <c:pt idx="171">
                  <c:v>94.303999999999974</c:v>
                </c:pt>
                <c:pt idx="172">
                  <c:v>94.377599999999987</c:v>
                </c:pt>
                <c:pt idx="173">
                  <c:v>94.475399999999993</c:v>
                </c:pt>
                <c:pt idx="174">
                  <c:v>94.615399999999994</c:v>
                </c:pt>
                <c:pt idx="175">
                  <c:v>94.755399999999995</c:v>
                </c:pt>
                <c:pt idx="176">
                  <c:v>94.895399999999995</c:v>
                </c:pt>
                <c:pt idx="177">
                  <c:v>95.03540000000001</c:v>
                </c:pt>
                <c:pt idx="178">
                  <c:v>95.174199999999999</c:v>
                </c:pt>
                <c:pt idx="179">
                  <c:v>95.319000000000003</c:v>
                </c:pt>
                <c:pt idx="180">
                  <c:v>95.47699999999999</c:v>
                </c:pt>
                <c:pt idx="181">
                  <c:v>95.636399999999995</c:v>
                </c:pt>
                <c:pt idx="182">
                  <c:v>95.818399999999997</c:v>
                </c:pt>
                <c:pt idx="183">
                  <c:v>95.990399999999994</c:v>
                </c:pt>
                <c:pt idx="184">
                  <c:v>96.162399999999991</c:v>
                </c:pt>
                <c:pt idx="185">
                  <c:v>96.329199999999986</c:v>
                </c:pt>
                <c:pt idx="186">
                  <c:v>96.493200000000002</c:v>
                </c:pt>
                <c:pt idx="187">
                  <c:v>96.660999999999987</c:v>
                </c:pt>
                <c:pt idx="188">
                  <c:v>96.816799999999986</c:v>
                </c:pt>
                <c:pt idx="189">
                  <c:v>96.952799999999968</c:v>
                </c:pt>
                <c:pt idx="190">
                  <c:v>97.104799999999955</c:v>
                </c:pt>
                <c:pt idx="191">
                  <c:v>97.252799999999951</c:v>
                </c:pt>
                <c:pt idx="192">
                  <c:v>97.41219999999997</c:v>
                </c:pt>
                <c:pt idx="193">
                  <c:v>97.57099999999997</c:v>
                </c:pt>
                <c:pt idx="194">
                  <c:v>97.713999999999984</c:v>
                </c:pt>
                <c:pt idx="195">
                  <c:v>97.85799999999999</c:v>
                </c:pt>
                <c:pt idx="196">
                  <c:v>98.001000000000005</c:v>
                </c:pt>
                <c:pt idx="197">
                  <c:v>98.143999999999991</c:v>
                </c:pt>
                <c:pt idx="198">
                  <c:v>98.322000000000003</c:v>
                </c:pt>
                <c:pt idx="199">
                  <c:v>98.521000000000015</c:v>
                </c:pt>
                <c:pt idx="200">
                  <c:v>98.721000000000018</c:v>
                </c:pt>
                <c:pt idx="201">
                  <c:v>98.91500000000002</c:v>
                </c:pt>
                <c:pt idx="202">
                  <c:v>99.119399999999999</c:v>
                </c:pt>
                <c:pt idx="203">
                  <c:v>99.324399999999983</c:v>
                </c:pt>
                <c:pt idx="204">
                  <c:v>99.532599999999988</c:v>
                </c:pt>
                <c:pt idx="205">
                  <c:v>99.764199999999988</c:v>
                </c:pt>
                <c:pt idx="206">
                  <c:v>99.994199999999964</c:v>
                </c:pt>
                <c:pt idx="207">
                  <c:v>100.22419999999997</c:v>
                </c:pt>
                <c:pt idx="208">
                  <c:v>100.48459999999997</c:v>
                </c:pt>
                <c:pt idx="209">
                  <c:v>100.76039999999998</c:v>
                </c:pt>
                <c:pt idx="210">
                  <c:v>101.04039999999998</c:v>
                </c:pt>
                <c:pt idx="211">
                  <c:v>101.33239999999998</c:v>
                </c:pt>
                <c:pt idx="212">
                  <c:v>101.62839999999998</c:v>
                </c:pt>
                <c:pt idx="213">
                  <c:v>101.78408163265304</c:v>
                </c:pt>
                <c:pt idx="214">
                  <c:v>101.95145833333332</c:v>
                </c:pt>
                <c:pt idx="215">
                  <c:v>102.08872340425532</c:v>
                </c:pt>
                <c:pt idx="216">
                  <c:v>102.23434782608697</c:v>
                </c:pt>
                <c:pt idx="217">
                  <c:v>102.4017777777778</c:v>
                </c:pt>
                <c:pt idx="218">
                  <c:v>102.54727272727274</c:v>
                </c:pt>
                <c:pt idx="219">
                  <c:v>102.70441860465118</c:v>
                </c:pt>
                <c:pt idx="220">
                  <c:v>102.81880952380953</c:v>
                </c:pt>
                <c:pt idx="221">
                  <c:v>102.94390243902441</c:v>
                </c:pt>
                <c:pt idx="222">
                  <c:v>103.07550000000001</c:v>
                </c:pt>
                <c:pt idx="223">
                  <c:v>103.18282051282054</c:v>
                </c:pt>
                <c:pt idx="224">
                  <c:v>103.24026315789476</c:v>
                </c:pt>
                <c:pt idx="225">
                  <c:v>103.30081081081083</c:v>
                </c:pt>
                <c:pt idx="226">
                  <c:v>103.36472222222224</c:v>
                </c:pt>
                <c:pt idx="227">
                  <c:v>103.43228571428571</c:v>
                </c:pt>
                <c:pt idx="228">
                  <c:v>103.5085294117647</c:v>
                </c:pt>
                <c:pt idx="229">
                  <c:v>103.57727272727273</c:v>
                </c:pt>
                <c:pt idx="230">
                  <c:v>103.6296875</c:v>
                </c:pt>
                <c:pt idx="231">
                  <c:v>103.6516129032258</c:v>
                </c:pt>
                <c:pt idx="232">
                  <c:v>103.65333333333334</c:v>
                </c:pt>
                <c:pt idx="233">
                  <c:v>103.67586206896551</c:v>
                </c:pt>
                <c:pt idx="234">
                  <c:v>103.70000000000002</c:v>
                </c:pt>
                <c:pt idx="235">
                  <c:v>103.72814814814816</c:v>
                </c:pt>
                <c:pt idx="236">
                  <c:v>103.7946153846154</c:v>
                </c:pt>
                <c:pt idx="237">
                  <c:v>103.83880000000001</c:v>
                </c:pt>
                <c:pt idx="238">
                  <c:v>103.91583333333335</c:v>
                </c:pt>
                <c:pt idx="239">
                  <c:v>104.04260869565218</c:v>
                </c:pt>
                <c:pt idx="240">
                  <c:v>104.1627272727273</c:v>
                </c:pt>
                <c:pt idx="241">
                  <c:v>104.29428571428573</c:v>
                </c:pt>
                <c:pt idx="242">
                  <c:v>104.4105</c:v>
                </c:pt>
                <c:pt idx="243">
                  <c:v>104.54052631578948</c:v>
                </c:pt>
                <c:pt idx="244">
                  <c:v>104.73166666666667</c:v>
                </c:pt>
                <c:pt idx="245">
                  <c:v>104.94529411764705</c:v>
                </c:pt>
                <c:pt idx="246">
                  <c:v>105.18875</c:v>
                </c:pt>
                <c:pt idx="247">
                  <c:v>105.46466666666667</c:v>
                </c:pt>
                <c:pt idx="248">
                  <c:v>105.65499999999999</c:v>
                </c:pt>
                <c:pt idx="249">
                  <c:v>105.7976923076923</c:v>
                </c:pt>
                <c:pt idx="250">
                  <c:v>105.97249999999998</c:v>
                </c:pt>
                <c:pt idx="251">
                  <c:v>106.20636363636363</c:v>
                </c:pt>
                <c:pt idx="252">
                  <c:v>106.43700000000001</c:v>
                </c:pt>
                <c:pt idx="253">
                  <c:v>106.71333333333332</c:v>
                </c:pt>
                <c:pt idx="254">
                  <c:v>107.02749999999999</c:v>
                </c:pt>
                <c:pt idx="255">
                  <c:v>107.24857142857142</c:v>
                </c:pt>
                <c:pt idx="256">
                  <c:v>107.55666666666666</c:v>
                </c:pt>
                <c:pt idx="257">
                  <c:v>107.96799999999999</c:v>
                </c:pt>
                <c:pt idx="258">
                  <c:v>108.22500000000001</c:v>
                </c:pt>
                <c:pt idx="259">
                  <c:v>108.46666666666665</c:v>
                </c:pt>
                <c:pt idx="260">
                  <c:v>108.69999999999999</c:v>
                </c:pt>
                <c:pt idx="261">
                  <c:v>108.8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96-4836-86D1-F93D58853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747856"/>
        <c:axId val="655744496"/>
      </c:lineChart>
      <c:dateAx>
        <c:axId val="6557478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744496"/>
        <c:crosses val="autoZero"/>
        <c:auto val="1"/>
        <c:lblOffset val="100"/>
        <c:baseTimeUnit val="days"/>
      </c:dateAx>
      <c:valAx>
        <c:axId val="655744496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74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Stocks'!$J$1</c:f>
              <c:strCache>
                <c:ptCount val="1"/>
                <c:pt idx="0">
                  <c:v>Cum Daily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Stocks'!$J$2:$J$418</c:f>
              <c:numCache>
                <c:formatCode>0.0%</c:formatCode>
                <c:ptCount val="417"/>
                <c:pt idx="0">
                  <c:v>0</c:v>
                </c:pt>
                <c:pt idx="1">
                  <c:v>-4.2598509052184097E-3</c:v>
                </c:pt>
                <c:pt idx="2">
                  <c:v>-2.2364217252397456E-3</c:v>
                </c:pt>
                <c:pt idx="3">
                  <c:v>-4.2598509052184097E-3</c:v>
                </c:pt>
                <c:pt idx="4">
                  <c:v>-2.1299254526091493E-3</c:v>
                </c:pt>
                <c:pt idx="5">
                  <c:v>9.5846645367392291E-4</c:v>
                </c:pt>
                <c:pt idx="6">
                  <c:v>9.5846645367392291E-4</c:v>
                </c:pt>
                <c:pt idx="7">
                  <c:v>1.0649627263044081E-3</c:v>
                </c:pt>
                <c:pt idx="8">
                  <c:v>1.1608093716719781E-2</c:v>
                </c:pt>
                <c:pt idx="9">
                  <c:v>3.3013844515441981E-2</c:v>
                </c:pt>
                <c:pt idx="10">
                  <c:v>3.1416400425984925E-2</c:v>
                </c:pt>
                <c:pt idx="11">
                  <c:v>2.7689030883919052E-2</c:v>
                </c:pt>
                <c:pt idx="12">
                  <c:v>2.7689030883919052E-2</c:v>
                </c:pt>
                <c:pt idx="13">
                  <c:v>3.3013844515441981E-2</c:v>
                </c:pt>
                <c:pt idx="14">
                  <c:v>3.0883919062832721E-2</c:v>
                </c:pt>
                <c:pt idx="15">
                  <c:v>4.7923322683706138E-2</c:v>
                </c:pt>
                <c:pt idx="16">
                  <c:v>5.3248136315229067E-2</c:v>
                </c:pt>
                <c:pt idx="17">
                  <c:v>4.3663471778487617E-2</c:v>
                </c:pt>
                <c:pt idx="18">
                  <c:v>4.1533546325878579E-2</c:v>
                </c:pt>
                <c:pt idx="19">
                  <c:v>3.727369542066028E-2</c:v>
                </c:pt>
                <c:pt idx="20">
                  <c:v>4.0468583599573948E-2</c:v>
                </c:pt>
                <c:pt idx="21">
                  <c:v>3.3013844515441981E-2</c:v>
                </c:pt>
                <c:pt idx="22">
                  <c:v>3.3013844515441981E-2</c:v>
                </c:pt>
                <c:pt idx="23">
                  <c:v>3.2800851970181011E-2</c:v>
                </c:pt>
                <c:pt idx="24">
                  <c:v>3.1948881789137351E-2</c:v>
                </c:pt>
                <c:pt idx="25">
                  <c:v>2.7156549520766848E-2</c:v>
                </c:pt>
                <c:pt idx="26">
                  <c:v>3.2907348242811274E-2</c:v>
                </c:pt>
                <c:pt idx="27">
                  <c:v>3.727369542066028E-2</c:v>
                </c:pt>
                <c:pt idx="28">
                  <c:v>3.3333333333333215E-2</c:v>
                </c:pt>
                <c:pt idx="29">
                  <c:v>3.4611288604898816E-2</c:v>
                </c:pt>
                <c:pt idx="30">
                  <c:v>3.727369542066028E-2</c:v>
                </c:pt>
                <c:pt idx="31">
                  <c:v>3.8338658146964688E-2</c:v>
                </c:pt>
                <c:pt idx="32">
                  <c:v>3.8338658146964688E-2</c:v>
                </c:pt>
                <c:pt idx="33">
                  <c:v>4.8988285410010546E-2</c:v>
                </c:pt>
                <c:pt idx="34">
                  <c:v>5.3141640042598359E-2</c:v>
                </c:pt>
                <c:pt idx="35">
                  <c:v>5.3248136315229067E-2</c:v>
                </c:pt>
                <c:pt idx="36">
                  <c:v>5.9637912673056404E-2</c:v>
                </c:pt>
                <c:pt idx="37">
                  <c:v>5.4313099041533475E-2</c:v>
                </c:pt>
                <c:pt idx="38">
                  <c:v>5.1224707135250069E-2</c:v>
                </c:pt>
                <c:pt idx="39">
                  <c:v>5.3248136315229067E-2</c:v>
                </c:pt>
                <c:pt idx="40">
                  <c:v>6.1767838125665664E-2</c:v>
                </c:pt>
                <c:pt idx="41">
                  <c:v>6.3897763578274702E-2</c:v>
                </c:pt>
                <c:pt idx="42">
                  <c:v>7.5612353567624968E-2</c:v>
                </c:pt>
                <c:pt idx="43">
                  <c:v>0.10223642172523961</c:v>
                </c:pt>
                <c:pt idx="44">
                  <c:v>9.6911608093716683E-2</c:v>
                </c:pt>
                <c:pt idx="45">
                  <c:v>9.9574014909478148E-2</c:v>
                </c:pt>
                <c:pt idx="46">
                  <c:v>7.5612353567624968E-2</c:v>
                </c:pt>
                <c:pt idx="47">
                  <c:v>7.5505857294994483E-2</c:v>
                </c:pt>
                <c:pt idx="48">
                  <c:v>6.6027689030883741E-2</c:v>
                </c:pt>
                <c:pt idx="49">
                  <c:v>7.5612353567624968E-2</c:v>
                </c:pt>
                <c:pt idx="50">
                  <c:v>8.5197018104366418E-2</c:v>
                </c:pt>
                <c:pt idx="51">
                  <c:v>7.1352502662406669E-2</c:v>
                </c:pt>
                <c:pt idx="52">
                  <c:v>7.1246006389776406E-2</c:v>
                </c:pt>
                <c:pt idx="53">
                  <c:v>6.3897763578274702E-2</c:v>
                </c:pt>
                <c:pt idx="54">
                  <c:v>6.1980830670926412E-2</c:v>
                </c:pt>
                <c:pt idx="55">
                  <c:v>6.1767838125665664E-2</c:v>
                </c:pt>
                <c:pt idx="56">
                  <c:v>5.3248136315229067E-2</c:v>
                </c:pt>
                <c:pt idx="57">
                  <c:v>5.3248136315229067E-2</c:v>
                </c:pt>
                <c:pt idx="58">
                  <c:v>5.0692225772097865E-2</c:v>
                </c:pt>
                <c:pt idx="59">
                  <c:v>5.3248136315229067E-2</c:v>
                </c:pt>
                <c:pt idx="60">
                  <c:v>4.8988285410010546E-2</c:v>
                </c:pt>
                <c:pt idx="61">
                  <c:v>4.8988285410010546E-2</c:v>
                </c:pt>
                <c:pt idx="62">
                  <c:v>4.8988285410010546E-2</c:v>
                </c:pt>
                <c:pt idx="63">
                  <c:v>5.271565495207664E-2</c:v>
                </c:pt>
                <c:pt idx="64">
                  <c:v>4.3663471778487617E-2</c:v>
                </c:pt>
                <c:pt idx="65">
                  <c:v>5.0053248136315176E-2</c:v>
                </c:pt>
                <c:pt idx="66">
                  <c:v>5.0053248136315176E-2</c:v>
                </c:pt>
                <c:pt idx="67">
                  <c:v>5.4100106496272504E-2</c:v>
                </c:pt>
                <c:pt idx="68">
                  <c:v>5.6443024494142735E-2</c:v>
                </c:pt>
                <c:pt idx="69">
                  <c:v>6.4856230031948847E-2</c:v>
                </c:pt>
                <c:pt idx="70">
                  <c:v>6.4856230031948847E-2</c:v>
                </c:pt>
                <c:pt idx="71">
                  <c:v>8.6155484558040341E-2</c:v>
                </c:pt>
                <c:pt idx="72">
                  <c:v>7.5505857294994483E-2</c:v>
                </c:pt>
                <c:pt idx="73">
                  <c:v>8.4877529286474962E-2</c:v>
                </c:pt>
                <c:pt idx="74">
                  <c:v>8.4877529286474962E-2</c:v>
                </c:pt>
                <c:pt idx="75">
                  <c:v>8.6261980830670826E-2</c:v>
                </c:pt>
                <c:pt idx="76">
                  <c:v>9.6911608093716683E-2</c:v>
                </c:pt>
                <c:pt idx="77">
                  <c:v>9.1480298189563269E-2</c:v>
                </c:pt>
                <c:pt idx="78">
                  <c:v>9.1480298189563269E-2</c:v>
                </c:pt>
                <c:pt idx="79">
                  <c:v>0.10117145899893498</c:v>
                </c:pt>
                <c:pt idx="80">
                  <c:v>9.6911608093716683E-2</c:v>
                </c:pt>
                <c:pt idx="81">
                  <c:v>0.10223642172523961</c:v>
                </c:pt>
                <c:pt idx="82">
                  <c:v>0.10223642172523961</c:v>
                </c:pt>
                <c:pt idx="83">
                  <c:v>0.10191693290734816</c:v>
                </c:pt>
                <c:pt idx="84">
                  <c:v>0.10191693290734816</c:v>
                </c:pt>
                <c:pt idx="85">
                  <c:v>0.10117145899893498</c:v>
                </c:pt>
                <c:pt idx="86">
                  <c:v>0.10170394036208719</c:v>
                </c:pt>
                <c:pt idx="87">
                  <c:v>3.620873269435565E-2</c:v>
                </c:pt>
                <c:pt idx="88">
                  <c:v>3.4078807241746389E-2</c:v>
                </c:pt>
                <c:pt idx="89">
                  <c:v>3.3013844515441981E-2</c:v>
                </c:pt>
                <c:pt idx="90">
                  <c:v>3.2800851970181011E-2</c:v>
                </c:pt>
                <c:pt idx="91">
                  <c:v>3.4078807241746389E-2</c:v>
                </c:pt>
                <c:pt idx="92">
                  <c:v>3.1948881789137351E-2</c:v>
                </c:pt>
                <c:pt idx="93">
                  <c:v>9.5846645367412275E-3</c:v>
                </c:pt>
                <c:pt idx="94">
                  <c:v>3.2907348242811274E-2</c:v>
                </c:pt>
                <c:pt idx="95">
                  <c:v>3.3013844515441981E-2</c:v>
                </c:pt>
                <c:pt idx="96">
                  <c:v>3.3013844515441981E-2</c:v>
                </c:pt>
                <c:pt idx="97">
                  <c:v>3.2800851970181011E-2</c:v>
                </c:pt>
                <c:pt idx="98">
                  <c:v>2.7689030883919052E-2</c:v>
                </c:pt>
                <c:pt idx="99">
                  <c:v>2.6624068157614422E-2</c:v>
                </c:pt>
                <c:pt idx="100">
                  <c:v>2.0234291799786863E-2</c:v>
                </c:pt>
                <c:pt idx="101">
                  <c:v>6.389776357827337E-3</c:v>
                </c:pt>
                <c:pt idx="102">
                  <c:v>6.389776357827337E-3</c:v>
                </c:pt>
                <c:pt idx="103">
                  <c:v>1.0649627263044081E-3</c:v>
                </c:pt>
                <c:pt idx="104">
                  <c:v>3.1948881789136685E-3</c:v>
                </c:pt>
                <c:pt idx="105">
                  <c:v>2.1299254526090383E-3</c:v>
                </c:pt>
                <c:pt idx="106">
                  <c:v>1.0649627263044081E-3</c:v>
                </c:pt>
                <c:pt idx="107">
                  <c:v>1.9169329073480679E-3</c:v>
                </c:pt>
                <c:pt idx="108">
                  <c:v>-4.3663471778488949E-3</c:v>
                </c:pt>
                <c:pt idx="109">
                  <c:v>-6.389776357827559E-3</c:v>
                </c:pt>
                <c:pt idx="110">
                  <c:v>-2.0234291799787085E-2</c:v>
                </c:pt>
                <c:pt idx="111">
                  <c:v>-3.4611288604898816E-2</c:v>
                </c:pt>
                <c:pt idx="112">
                  <c:v>-3.6208732694355761E-2</c:v>
                </c:pt>
                <c:pt idx="113">
                  <c:v>-3.9403620873269429E-2</c:v>
                </c:pt>
                <c:pt idx="114">
                  <c:v>-9.6911608093718238E-3</c:v>
                </c:pt>
                <c:pt idx="115">
                  <c:v>-1.1821086261980862E-2</c:v>
                </c:pt>
                <c:pt idx="116">
                  <c:v>-2.0021299254526226E-2</c:v>
                </c:pt>
                <c:pt idx="117">
                  <c:v>1.0649627263044081E-3</c:v>
                </c:pt>
                <c:pt idx="118">
                  <c:v>1.0649627263044081E-3</c:v>
                </c:pt>
                <c:pt idx="119">
                  <c:v>2.6624068157614644E-3</c:v>
                </c:pt>
                <c:pt idx="120">
                  <c:v>1.0649627263044081E-3</c:v>
                </c:pt>
                <c:pt idx="121">
                  <c:v>1.0649627263044081E-3</c:v>
                </c:pt>
                <c:pt idx="122">
                  <c:v>1.0649627263044081E-3</c:v>
                </c:pt>
                <c:pt idx="123">
                  <c:v>1.0649627263044081E-3</c:v>
                </c:pt>
                <c:pt idx="124">
                  <c:v>1.0649627263044081E-3</c:v>
                </c:pt>
                <c:pt idx="125">
                  <c:v>1.0649627263044081E-3</c:v>
                </c:pt>
                <c:pt idx="126">
                  <c:v>1.0649627263044081E-3</c:v>
                </c:pt>
                <c:pt idx="127">
                  <c:v>1.0649627263044081E-3</c:v>
                </c:pt>
                <c:pt idx="128">
                  <c:v>0</c:v>
                </c:pt>
                <c:pt idx="129">
                  <c:v>1.0649627263044081E-3</c:v>
                </c:pt>
                <c:pt idx="130">
                  <c:v>1.0649627263044081E-3</c:v>
                </c:pt>
                <c:pt idx="131">
                  <c:v>1.1501597444089517E-2</c:v>
                </c:pt>
                <c:pt idx="132">
                  <c:v>6.389776357827337E-3</c:v>
                </c:pt>
                <c:pt idx="133">
                  <c:v>5.3248136315229289E-3</c:v>
                </c:pt>
                <c:pt idx="134">
                  <c:v>5.3248136315229289E-3</c:v>
                </c:pt>
                <c:pt idx="135">
                  <c:v>7.4547390841319672E-3</c:v>
                </c:pt>
                <c:pt idx="136">
                  <c:v>-1.0649627263046302E-3</c:v>
                </c:pt>
                <c:pt idx="137">
                  <c:v>4.2598509052182987E-3</c:v>
                </c:pt>
                <c:pt idx="138">
                  <c:v>3.1948881789136685E-3</c:v>
                </c:pt>
                <c:pt idx="139">
                  <c:v>3.1948881789136685E-3</c:v>
                </c:pt>
                <c:pt idx="140">
                  <c:v>-1.0649627263046302E-3</c:v>
                </c:pt>
                <c:pt idx="141">
                  <c:v>1.0649627263044081E-3</c:v>
                </c:pt>
                <c:pt idx="142">
                  <c:v>1.0649627263044081E-3</c:v>
                </c:pt>
                <c:pt idx="143">
                  <c:v>1.0649627263044081E-3</c:v>
                </c:pt>
                <c:pt idx="144">
                  <c:v>5.3248136315220407E-4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-5.3248136315242611E-4</c:v>
                </c:pt>
                <c:pt idx="150">
                  <c:v>-2.1299254526091493E-3</c:v>
                </c:pt>
                <c:pt idx="151">
                  <c:v>-2.1299254526091493E-3</c:v>
                </c:pt>
                <c:pt idx="152">
                  <c:v>-2.3429179978700088E-3</c:v>
                </c:pt>
                <c:pt idx="153">
                  <c:v>-2.1299254526091493E-3</c:v>
                </c:pt>
                <c:pt idx="154">
                  <c:v>-1.1714589989350044E-3</c:v>
                </c:pt>
                <c:pt idx="155">
                  <c:v>0</c:v>
                </c:pt>
                <c:pt idx="156">
                  <c:v>0</c:v>
                </c:pt>
                <c:pt idx="157">
                  <c:v>1.0649627263044081E-3</c:v>
                </c:pt>
                <c:pt idx="158">
                  <c:v>2.1299254526097045E-4</c:v>
                </c:pt>
                <c:pt idx="159">
                  <c:v>-2.0234291799787751E-3</c:v>
                </c:pt>
                <c:pt idx="160">
                  <c:v>1.0649627263044081E-3</c:v>
                </c:pt>
                <c:pt idx="161">
                  <c:v>1.0649627263044081E-3</c:v>
                </c:pt>
                <c:pt idx="162">
                  <c:v>1.0649627263044081E-3</c:v>
                </c:pt>
                <c:pt idx="163">
                  <c:v>1.0649627263044081E-3</c:v>
                </c:pt>
                <c:pt idx="164">
                  <c:v>-1.5974440894569453E-3</c:v>
                </c:pt>
                <c:pt idx="165">
                  <c:v>1.7039403620873195E-2</c:v>
                </c:pt>
                <c:pt idx="166">
                  <c:v>1.5867944621938079E-2</c:v>
                </c:pt>
                <c:pt idx="167">
                  <c:v>8.5197018104365974E-3</c:v>
                </c:pt>
                <c:pt idx="168">
                  <c:v>2.2364217252396124E-2</c:v>
                </c:pt>
                <c:pt idx="169">
                  <c:v>2.01277955271566E-2</c:v>
                </c:pt>
                <c:pt idx="170">
                  <c:v>4.2598509052183209E-2</c:v>
                </c:pt>
                <c:pt idx="171">
                  <c:v>4.0362087326943463E-2</c:v>
                </c:pt>
                <c:pt idx="172">
                  <c:v>4.02555910543132E-2</c:v>
                </c:pt>
                <c:pt idx="173">
                  <c:v>5.3141640042598359E-2</c:v>
                </c:pt>
                <c:pt idx="174">
                  <c:v>7.5612353567624968E-2</c:v>
                </c:pt>
                <c:pt idx="175">
                  <c:v>7.5612353567624968E-2</c:v>
                </c:pt>
                <c:pt idx="176">
                  <c:v>7.5612353567624968E-2</c:v>
                </c:pt>
                <c:pt idx="177">
                  <c:v>7.5612353567624968E-2</c:v>
                </c:pt>
                <c:pt idx="178">
                  <c:v>7.3908413205537871E-2</c:v>
                </c:pt>
                <c:pt idx="179">
                  <c:v>7.8168264110755947E-2</c:v>
                </c:pt>
                <c:pt idx="180">
                  <c:v>8.5197018104366418E-2</c:v>
                </c:pt>
                <c:pt idx="181">
                  <c:v>9.6379126730564479E-2</c:v>
                </c:pt>
                <c:pt idx="182">
                  <c:v>0.10330138445154402</c:v>
                </c:pt>
                <c:pt idx="183">
                  <c:v>9.6911608093716683E-2</c:v>
                </c:pt>
                <c:pt idx="184">
                  <c:v>9.6911608093716683E-2</c:v>
                </c:pt>
                <c:pt idx="185">
                  <c:v>9.6272630457933772E-2</c:v>
                </c:pt>
                <c:pt idx="186">
                  <c:v>8.6261980830670826E-2</c:v>
                </c:pt>
                <c:pt idx="187">
                  <c:v>9.361022364217253E-2</c:v>
                </c:pt>
                <c:pt idx="188">
                  <c:v>8.6155484558040341E-2</c:v>
                </c:pt>
                <c:pt idx="189">
                  <c:v>7.5612353567624968E-2</c:v>
                </c:pt>
                <c:pt idx="190">
                  <c:v>7.9872204472843489E-2</c:v>
                </c:pt>
                <c:pt idx="191">
                  <c:v>7.9872204472843489E-2</c:v>
                </c:pt>
                <c:pt idx="192">
                  <c:v>8.594249201277937E-2</c:v>
                </c:pt>
                <c:pt idx="193">
                  <c:v>8.5623003194888136E-2</c:v>
                </c:pt>
                <c:pt idx="194">
                  <c:v>7.6677316293929598E-2</c:v>
                </c:pt>
                <c:pt idx="195">
                  <c:v>7.6677316293929598E-2</c:v>
                </c:pt>
                <c:pt idx="196">
                  <c:v>7.6144834930777394E-2</c:v>
                </c:pt>
                <c:pt idx="197">
                  <c:v>7.6144834930777394E-2</c:v>
                </c:pt>
                <c:pt idx="198">
                  <c:v>9.4781682641107423E-2</c:v>
                </c:pt>
                <c:pt idx="199">
                  <c:v>0.10543130990415328</c:v>
                </c:pt>
                <c:pt idx="200">
                  <c:v>0.10436634717784865</c:v>
                </c:pt>
                <c:pt idx="201">
                  <c:v>0.10117145899893498</c:v>
                </c:pt>
                <c:pt idx="202">
                  <c:v>0.10649627263045791</c:v>
                </c:pt>
                <c:pt idx="203">
                  <c:v>0.10702875399361012</c:v>
                </c:pt>
                <c:pt idx="204">
                  <c:v>0.10969116080937158</c:v>
                </c:pt>
                <c:pt idx="205">
                  <c:v>0.12332268370607036</c:v>
                </c:pt>
                <c:pt idx="206">
                  <c:v>0.1224707135250267</c:v>
                </c:pt>
                <c:pt idx="207">
                  <c:v>0.12353567625133111</c:v>
                </c:pt>
                <c:pt idx="208">
                  <c:v>0.13887113951011698</c:v>
                </c:pt>
                <c:pt idx="209">
                  <c:v>0.14483493077742282</c:v>
                </c:pt>
                <c:pt idx="210">
                  <c:v>0.15015974440894553</c:v>
                </c:pt>
                <c:pt idx="211">
                  <c:v>0.15654952076677309</c:v>
                </c:pt>
                <c:pt idx="212">
                  <c:v>0.15867944621938213</c:v>
                </c:pt>
                <c:pt idx="213">
                  <c:v>-1</c:v>
                </c:pt>
                <c:pt idx="214">
                  <c:v>-1</c:v>
                </c:pt>
                <c:pt idx="215">
                  <c:v>-1</c:v>
                </c:pt>
                <c:pt idx="216">
                  <c:v>-1</c:v>
                </c:pt>
                <c:pt idx="217">
                  <c:v>-1</c:v>
                </c:pt>
                <c:pt idx="218">
                  <c:v>-1</c:v>
                </c:pt>
                <c:pt idx="219">
                  <c:v>-1</c:v>
                </c:pt>
                <c:pt idx="220">
                  <c:v>-1</c:v>
                </c:pt>
                <c:pt idx="221">
                  <c:v>-1</c:v>
                </c:pt>
                <c:pt idx="222">
                  <c:v>-1</c:v>
                </c:pt>
                <c:pt idx="223">
                  <c:v>-1</c:v>
                </c:pt>
                <c:pt idx="224">
                  <c:v>-1</c:v>
                </c:pt>
                <c:pt idx="225">
                  <c:v>-1</c:v>
                </c:pt>
                <c:pt idx="226">
                  <c:v>-1</c:v>
                </c:pt>
                <c:pt idx="227">
                  <c:v>-1</c:v>
                </c:pt>
                <c:pt idx="228">
                  <c:v>-1</c:v>
                </c:pt>
                <c:pt idx="229">
                  <c:v>-1</c:v>
                </c:pt>
                <c:pt idx="230">
                  <c:v>-1</c:v>
                </c:pt>
                <c:pt idx="231">
                  <c:v>-1</c:v>
                </c:pt>
                <c:pt idx="232">
                  <c:v>-1</c:v>
                </c:pt>
                <c:pt idx="233">
                  <c:v>-1</c:v>
                </c:pt>
                <c:pt idx="234">
                  <c:v>-1</c:v>
                </c:pt>
                <c:pt idx="235">
                  <c:v>-1</c:v>
                </c:pt>
                <c:pt idx="236">
                  <c:v>-1</c:v>
                </c:pt>
                <c:pt idx="237">
                  <c:v>-1</c:v>
                </c:pt>
                <c:pt idx="238">
                  <c:v>-1</c:v>
                </c:pt>
                <c:pt idx="239">
                  <c:v>-1</c:v>
                </c:pt>
                <c:pt idx="240">
                  <c:v>-1</c:v>
                </c:pt>
                <c:pt idx="241">
                  <c:v>-1</c:v>
                </c:pt>
                <c:pt idx="242">
                  <c:v>-1</c:v>
                </c:pt>
                <c:pt idx="243">
                  <c:v>-1</c:v>
                </c:pt>
                <c:pt idx="244">
                  <c:v>-1</c:v>
                </c:pt>
                <c:pt idx="245">
                  <c:v>-1</c:v>
                </c:pt>
                <c:pt idx="246">
                  <c:v>-1</c:v>
                </c:pt>
                <c:pt idx="247">
                  <c:v>-1</c:v>
                </c:pt>
                <c:pt idx="248">
                  <c:v>-1</c:v>
                </c:pt>
                <c:pt idx="249">
                  <c:v>-1</c:v>
                </c:pt>
                <c:pt idx="250">
                  <c:v>-1</c:v>
                </c:pt>
                <c:pt idx="251">
                  <c:v>-1</c:v>
                </c:pt>
                <c:pt idx="252">
                  <c:v>-1</c:v>
                </c:pt>
                <c:pt idx="253">
                  <c:v>-1</c:v>
                </c:pt>
                <c:pt idx="254">
                  <c:v>-1</c:v>
                </c:pt>
                <c:pt idx="255">
                  <c:v>-1</c:v>
                </c:pt>
                <c:pt idx="256">
                  <c:v>-1</c:v>
                </c:pt>
                <c:pt idx="257">
                  <c:v>-1</c:v>
                </c:pt>
                <c:pt idx="258">
                  <c:v>-1</c:v>
                </c:pt>
                <c:pt idx="259">
                  <c:v>-1</c:v>
                </c:pt>
                <c:pt idx="260">
                  <c:v>-1</c:v>
                </c:pt>
                <c:pt idx="261">
                  <c:v>-1</c:v>
                </c:pt>
                <c:pt idx="262">
                  <c:v>-1</c:v>
                </c:pt>
                <c:pt idx="263">
                  <c:v>-1</c:v>
                </c:pt>
                <c:pt idx="264">
                  <c:v>-1</c:v>
                </c:pt>
                <c:pt idx="265">
                  <c:v>-1</c:v>
                </c:pt>
                <c:pt idx="266">
                  <c:v>-1</c:v>
                </c:pt>
                <c:pt idx="267">
                  <c:v>-1</c:v>
                </c:pt>
                <c:pt idx="268">
                  <c:v>-1</c:v>
                </c:pt>
                <c:pt idx="269">
                  <c:v>-1</c:v>
                </c:pt>
                <c:pt idx="270">
                  <c:v>-1</c:v>
                </c:pt>
                <c:pt idx="271">
                  <c:v>-1</c:v>
                </c:pt>
                <c:pt idx="272">
                  <c:v>-1</c:v>
                </c:pt>
                <c:pt idx="273">
                  <c:v>-1</c:v>
                </c:pt>
                <c:pt idx="274">
                  <c:v>-1</c:v>
                </c:pt>
                <c:pt idx="275">
                  <c:v>-1</c:v>
                </c:pt>
                <c:pt idx="276">
                  <c:v>-1</c:v>
                </c:pt>
                <c:pt idx="277">
                  <c:v>-1</c:v>
                </c:pt>
                <c:pt idx="278">
                  <c:v>-1</c:v>
                </c:pt>
                <c:pt idx="279">
                  <c:v>-1</c:v>
                </c:pt>
                <c:pt idx="280">
                  <c:v>-1</c:v>
                </c:pt>
                <c:pt idx="281">
                  <c:v>-1</c:v>
                </c:pt>
                <c:pt idx="282">
                  <c:v>-1</c:v>
                </c:pt>
                <c:pt idx="283">
                  <c:v>-1</c:v>
                </c:pt>
                <c:pt idx="284">
                  <c:v>-1</c:v>
                </c:pt>
                <c:pt idx="285">
                  <c:v>-1</c:v>
                </c:pt>
                <c:pt idx="286">
                  <c:v>-1</c:v>
                </c:pt>
                <c:pt idx="287">
                  <c:v>-1</c:v>
                </c:pt>
                <c:pt idx="288">
                  <c:v>-1</c:v>
                </c:pt>
                <c:pt idx="289">
                  <c:v>-1</c:v>
                </c:pt>
                <c:pt idx="290">
                  <c:v>-1</c:v>
                </c:pt>
                <c:pt idx="291">
                  <c:v>-1</c:v>
                </c:pt>
                <c:pt idx="292">
                  <c:v>-1</c:v>
                </c:pt>
                <c:pt idx="293">
                  <c:v>-1</c:v>
                </c:pt>
                <c:pt idx="294">
                  <c:v>-1</c:v>
                </c:pt>
                <c:pt idx="295">
                  <c:v>-1</c:v>
                </c:pt>
                <c:pt idx="296">
                  <c:v>-1</c:v>
                </c:pt>
                <c:pt idx="297">
                  <c:v>-1</c:v>
                </c:pt>
                <c:pt idx="298">
                  <c:v>-1</c:v>
                </c:pt>
                <c:pt idx="299">
                  <c:v>-1</c:v>
                </c:pt>
                <c:pt idx="300">
                  <c:v>-1</c:v>
                </c:pt>
                <c:pt idx="301">
                  <c:v>-1</c:v>
                </c:pt>
                <c:pt idx="302">
                  <c:v>-1</c:v>
                </c:pt>
                <c:pt idx="303">
                  <c:v>-1</c:v>
                </c:pt>
                <c:pt idx="304">
                  <c:v>-1</c:v>
                </c:pt>
                <c:pt idx="305">
                  <c:v>-1</c:v>
                </c:pt>
                <c:pt idx="306">
                  <c:v>-1</c:v>
                </c:pt>
                <c:pt idx="307">
                  <c:v>-1</c:v>
                </c:pt>
                <c:pt idx="308">
                  <c:v>-1</c:v>
                </c:pt>
                <c:pt idx="309">
                  <c:v>-1</c:v>
                </c:pt>
                <c:pt idx="310">
                  <c:v>-1</c:v>
                </c:pt>
                <c:pt idx="311">
                  <c:v>-1</c:v>
                </c:pt>
                <c:pt idx="312">
                  <c:v>-1</c:v>
                </c:pt>
                <c:pt idx="313">
                  <c:v>-1</c:v>
                </c:pt>
                <c:pt idx="314">
                  <c:v>-1</c:v>
                </c:pt>
                <c:pt idx="315">
                  <c:v>-1</c:v>
                </c:pt>
                <c:pt idx="316">
                  <c:v>-1</c:v>
                </c:pt>
                <c:pt idx="317">
                  <c:v>-1</c:v>
                </c:pt>
                <c:pt idx="318">
                  <c:v>-1</c:v>
                </c:pt>
                <c:pt idx="319">
                  <c:v>-1</c:v>
                </c:pt>
                <c:pt idx="320">
                  <c:v>-1</c:v>
                </c:pt>
                <c:pt idx="321">
                  <c:v>-1</c:v>
                </c:pt>
                <c:pt idx="322">
                  <c:v>-1</c:v>
                </c:pt>
                <c:pt idx="323">
                  <c:v>-1</c:v>
                </c:pt>
                <c:pt idx="324">
                  <c:v>-1</c:v>
                </c:pt>
                <c:pt idx="325">
                  <c:v>-1</c:v>
                </c:pt>
                <c:pt idx="326">
                  <c:v>-1</c:v>
                </c:pt>
                <c:pt idx="327">
                  <c:v>-1</c:v>
                </c:pt>
                <c:pt idx="328">
                  <c:v>-1</c:v>
                </c:pt>
                <c:pt idx="329">
                  <c:v>-1</c:v>
                </c:pt>
                <c:pt idx="330">
                  <c:v>-1</c:v>
                </c:pt>
                <c:pt idx="331">
                  <c:v>-1</c:v>
                </c:pt>
                <c:pt idx="332">
                  <c:v>-1</c:v>
                </c:pt>
                <c:pt idx="333">
                  <c:v>-1</c:v>
                </c:pt>
                <c:pt idx="334">
                  <c:v>-1</c:v>
                </c:pt>
                <c:pt idx="335">
                  <c:v>-1</c:v>
                </c:pt>
                <c:pt idx="336">
                  <c:v>-1</c:v>
                </c:pt>
                <c:pt idx="337">
                  <c:v>-1</c:v>
                </c:pt>
                <c:pt idx="338">
                  <c:v>-1</c:v>
                </c:pt>
                <c:pt idx="339">
                  <c:v>-1</c:v>
                </c:pt>
                <c:pt idx="340">
                  <c:v>-1</c:v>
                </c:pt>
                <c:pt idx="341">
                  <c:v>-1</c:v>
                </c:pt>
                <c:pt idx="342">
                  <c:v>-1</c:v>
                </c:pt>
                <c:pt idx="343">
                  <c:v>-1</c:v>
                </c:pt>
                <c:pt idx="344">
                  <c:v>-1</c:v>
                </c:pt>
                <c:pt idx="345">
                  <c:v>-1</c:v>
                </c:pt>
                <c:pt idx="346">
                  <c:v>-1</c:v>
                </c:pt>
                <c:pt idx="347">
                  <c:v>-1</c:v>
                </c:pt>
                <c:pt idx="348">
                  <c:v>-1</c:v>
                </c:pt>
                <c:pt idx="349">
                  <c:v>-1</c:v>
                </c:pt>
                <c:pt idx="350">
                  <c:v>-1</c:v>
                </c:pt>
                <c:pt idx="351">
                  <c:v>-1</c:v>
                </c:pt>
                <c:pt idx="352">
                  <c:v>-1</c:v>
                </c:pt>
                <c:pt idx="353">
                  <c:v>-1</c:v>
                </c:pt>
                <c:pt idx="354">
                  <c:v>-1</c:v>
                </c:pt>
                <c:pt idx="355">
                  <c:v>-1</c:v>
                </c:pt>
                <c:pt idx="356">
                  <c:v>-1</c:v>
                </c:pt>
                <c:pt idx="357">
                  <c:v>-1</c:v>
                </c:pt>
                <c:pt idx="358">
                  <c:v>-1</c:v>
                </c:pt>
                <c:pt idx="359">
                  <c:v>-1</c:v>
                </c:pt>
                <c:pt idx="360">
                  <c:v>-1</c:v>
                </c:pt>
                <c:pt idx="361">
                  <c:v>-1</c:v>
                </c:pt>
                <c:pt idx="362">
                  <c:v>-1</c:v>
                </c:pt>
                <c:pt idx="363">
                  <c:v>-1</c:v>
                </c:pt>
                <c:pt idx="364">
                  <c:v>-1</c:v>
                </c:pt>
                <c:pt idx="365">
                  <c:v>-1</c:v>
                </c:pt>
                <c:pt idx="366">
                  <c:v>-1</c:v>
                </c:pt>
                <c:pt idx="367">
                  <c:v>-1</c:v>
                </c:pt>
                <c:pt idx="368">
                  <c:v>-1</c:v>
                </c:pt>
                <c:pt idx="369">
                  <c:v>-1</c:v>
                </c:pt>
                <c:pt idx="370">
                  <c:v>-1</c:v>
                </c:pt>
                <c:pt idx="371">
                  <c:v>-1</c:v>
                </c:pt>
                <c:pt idx="372">
                  <c:v>-1</c:v>
                </c:pt>
                <c:pt idx="373">
                  <c:v>-1</c:v>
                </c:pt>
                <c:pt idx="374">
                  <c:v>-1</c:v>
                </c:pt>
                <c:pt idx="375">
                  <c:v>-1</c:v>
                </c:pt>
                <c:pt idx="376">
                  <c:v>-1</c:v>
                </c:pt>
                <c:pt idx="377">
                  <c:v>-1</c:v>
                </c:pt>
                <c:pt idx="378">
                  <c:v>-1</c:v>
                </c:pt>
                <c:pt idx="379">
                  <c:v>-1</c:v>
                </c:pt>
                <c:pt idx="380">
                  <c:v>-1</c:v>
                </c:pt>
                <c:pt idx="381">
                  <c:v>-1</c:v>
                </c:pt>
                <c:pt idx="382">
                  <c:v>-1</c:v>
                </c:pt>
                <c:pt idx="383">
                  <c:v>-1</c:v>
                </c:pt>
                <c:pt idx="384">
                  <c:v>-1</c:v>
                </c:pt>
                <c:pt idx="385">
                  <c:v>-1</c:v>
                </c:pt>
                <c:pt idx="386">
                  <c:v>-1</c:v>
                </c:pt>
                <c:pt idx="387">
                  <c:v>-1</c:v>
                </c:pt>
                <c:pt idx="388">
                  <c:v>-1</c:v>
                </c:pt>
                <c:pt idx="389">
                  <c:v>-1</c:v>
                </c:pt>
                <c:pt idx="390">
                  <c:v>-1</c:v>
                </c:pt>
                <c:pt idx="391">
                  <c:v>-1</c:v>
                </c:pt>
                <c:pt idx="392">
                  <c:v>-1</c:v>
                </c:pt>
                <c:pt idx="393">
                  <c:v>-1</c:v>
                </c:pt>
                <c:pt idx="394">
                  <c:v>-1</c:v>
                </c:pt>
                <c:pt idx="395">
                  <c:v>-1</c:v>
                </c:pt>
                <c:pt idx="396">
                  <c:v>-1</c:v>
                </c:pt>
                <c:pt idx="397">
                  <c:v>-1</c:v>
                </c:pt>
                <c:pt idx="398">
                  <c:v>-1</c:v>
                </c:pt>
                <c:pt idx="399">
                  <c:v>-1</c:v>
                </c:pt>
                <c:pt idx="400">
                  <c:v>-1</c:v>
                </c:pt>
                <c:pt idx="401">
                  <c:v>-1</c:v>
                </c:pt>
                <c:pt idx="402">
                  <c:v>-1</c:v>
                </c:pt>
                <c:pt idx="403">
                  <c:v>-1</c:v>
                </c:pt>
                <c:pt idx="404">
                  <c:v>-1</c:v>
                </c:pt>
                <c:pt idx="405">
                  <c:v>-1</c:v>
                </c:pt>
                <c:pt idx="406">
                  <c:v>-1</c:v>
                </c:pt>
                <c:pt idx="407">
                  <c:v>-1</c:v>
                </c:pt>
                <c:pt idx="408">
                  <c:v>-1</c:v>
                </c:pt>
                <c:pt idx="409">
                  <c:v>-1</c:v>
                </c:pt>
                <c:pt idx="410">
                  <c:v>-1</c:v>
                </c:pt>
                <c:pt idx="411">
                  <c:v>-1</c:v>
                </c:pt>
                <c:pt idx="412">
                  <c:v>-1</c:v>
                </c:pt>
                <c:pt idx="413">
                  <c:v>-1</c:v>
                </c:pt>
                <c:pt idx="414">
                  <c:v>-1</c:v>
                </c:pt>
                <c:pt idx="415">
                  <c:v>-1</c:v>
                </c:pt>
                <c:pt idx="41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F3-4219-A021-1AC29005A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448672"/>
        <c:axId val="754388016"/>
      </c:lineChart>
      <c:dateAx>
        <c:axId val="629448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388016"/>
        <c:crosses val="autoZero"/>
        <c:auto val="1"/>
        <c:lblOffset val="100"/>
        <c:baseTimeUnit val="days"/>
      </c:dateAx>
      <c:valAx>
        <c:axId val="7543880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44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Stocks'!$L$1</c:f>
              <c:strCache>
                <c:ptCount val="1"/>
                <c:pt idx="0">
                  <c:v>HighLow20Day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Stocks'!$L$2:$L$418</c:f>
              <c:numCache>
                <c:formatCode>0.0%</c:formatCode>
                <c:ptCount val="417"/>
                <c:pt idx="19" formatCode="_(* #,##0.00_);_(* \(#,##0.00\);_(* &quot;-&quot;??_);_(@_)">
                  <c:v>1.1704999999999999</c:v>
                </c:pt>
                <c:pt idx="20" formatCode="_(* #,##0.00_);_(* \(#,##0.00\);_(* &quot;-&quot;??_);_(@_)">
                  <c:v>1.1914999999999991</c:v>
                </c:pt>
                <c:pt idx="21" formatCode="_(* #,##0.00_);_(* \(#,##0.00\);_(* &quot;-&quot;??_);_(@_)">
                  <c:v>1.1794999999999995</c:v>
                </c:pt>
                <c:pt idx="22" formatCode="_(* #,##0.00_);_(* \(#,##0.00\);_(* &quot;-&quot;??_);_(@_)">
                  <c:v>1.1984999999999992</c:v>
                </c:pt>
                <c:pt idx="23" formatCode="_(* #,##0.00_);_(* \(#,##0.00\);_(* &quot;-&quot;??_);_(@_)">
                  <c:v>1.2299999999999991</c:v>
                </c:pt>
                <c:pt idx="24" formatCode="_(* #,##0.00_);_(* \(#,##0.00\);_(* &quot;-&quot;??_);_(@_)">
                  <c:v>1.2524999999999991</c:v>
                </c:pt>
                <c:pt idx="25" formatCode="_(* #,##0.00_);_(* \(#,##0.00\);_(* &quot;-&quot;??_);_(@_)">
                  <c:v>1.2599999999999993</c:v>
                </c:pt>
                <c:pt idx="26" formatCode="_(* #,##0.00_);_(* \(#,##0.00\);_(* &quot;-&quot;??_);_(@_)">
                  <c:v>1.2849999999999995</c:v>
                </c:pt>
                <c:pt idx="27" formatCode="_(* #,##0.00_);_(* \(#,##0.00\);_(* &quot;-&quot;??_);_(@_)">
                  <c:v>1.2759999999999998</c:v>
                </c:pt>
                <c:pt idx="28" formatCode="_(* #,##0.00_);_(* \(#,##0.00\);_(* &quot;-&quot;??_);_(@_)">
                  <c:v>1.2</c:v>
                </c:pt>
                <c:pt idx="29" formatCode="_(* #,##0.00_);_(* \(#,##0.00\);_(* &quot;-&quot;??_);_(@_)">
                  <c:v>1.0800000000000005</c:v>
                </c:pt>
                <c:pt idx="30" formatCode="_(* #,##0.00_);_(* \(#,##0.00\);_(* &quot;-&quot;??_);_(@_)">
                  <c:v>1.0025000000000006</c:v>
                </c:pt>
                <c:pt idx="31" formatCode="_(* #,##0.00_);_(* \(#,##0.00\);_(* &quot;-&quot;??_);_(@_)">
                  <c:v>0.97850000000000104</c:v>
                </c:pt>
                <c:pt idx="32" formatCode="_(* #,##0.00_);_(* \(#,##0.00\);_(* &quot;-&quot;??_);_(@_)">
                  <c:v>0.95250000000000123</c:v>
                </c:pt>
                <c:pt idx="33" formatCode="_(* #,##0.00_);_(* \(#,##0.00\);_(* &quot;-&quot;??_);_(@_)">
                  <c:v>0.9500000000000014</c:v>
                </c:pt>
                <c:pt idx="34" formatCode="_(* #,##0.00_);_(* \(#,##0.00\);_(* &quot;-&quot;??_);_(@_)">
                  <c:v>0.9845000000000006</c:v>
                </c:pt>
                <c:pt idx="35" formatCode="_(* #,##0.00_);_(* \(#,##0.00\);_(* &quot;-&quot;??_);_(@_)">
                  <c:v>0.92950000000000088</c:v>
                </c:pt>
                <c:pt idx="36" formatCode="_(* #,##0.00_);_(* \(#,##0.00\);_(* &quot;-&quot;??_);_(@_)">
                  <c:v>0.86450000000000105</c:v>
                </c:pt>
                <c:pt idx="37" formatCode="_(* #,##0.00_);_(* \(#,##0.00\);_(* &quot;-&quot;??_);_(@_)">
                  <c:v>0.83800000000000097</c:v>
                </c:pt>
                <c:pt idx="38" formatCode="_(* #,##0.00_);_(* \(#,##0.00\);_(* &quot;-&quot;??_);_(@_)">
                  <c:v>0.81650000000000067</c:v>
                </c:pt>
                <c:pt idx="39" formatCode="_(* #,##0.00_);_(* \(#,##0.00\);_(* &quot;-&quot;??_);_(@_)">
                  <c:v>0.79400000000000048</c:v>
                </c:pt>
                <c:pt idx="40" formatCode="_(* #,##0.00_);_(* \(#,##0.00\);_(* &quot;-&quot;??_);_(@_)">
                  <c:v>0.80900000000000105</c:v>
                </c:pt>
                <c:pt idx="41" formatCode="_(* #,##0.00_);_(* \(#,##0.00\);_(* &quot;-&quot;??_);_(@_)">
                  <c:v>0.78900000000000081</c:v>
                </c:pt>
                <c:pt idx="42" formatCode="_(* #,##0.00_);_(* \(#,##0.00\);_(* &quot;-&quot;??_);_(@_)">
                  <c:v>0.85000000000000075</c:v>
                </c:pt>
                <c:pt idx="43" formatCode="_(* #,##0.00_);_(* \(#,##0.00\);_(* &quot;-&quot;??_);_(@_)">
                  <c:v>0.92600000000000049</c:v>
                </c:pt>
                <c:pt idx="44" formatCode="_(* #,##0.00_);_(* \(#,##0.00\);_(* &quot;-&quot;??_);_(@_)">
                  <c:v>0.93850000000000056</c:v>
                </c:pt>
                <c:pt idx="45" formatCode="_(* #,##0.00_);_(* \(#,##0.00\);_(* &quot;-&quot;??_);_(@_)">
                  <c:v>0.94299999999999995</c:v>
                </c:pt>
                <c:pt idx="46" formatCode="_(* #,##0.00_);_(* \(#,##0.00\);_(* &quot;-&quot;??_);_(@_)">
                  <c:v>1.0385000000000004</c:v>
                </c:pt>
                <c:pt idx="47" formatCode="_(* #,##0.00_);_(* \(#,##0.00\);_(* &quot;-&quot;??_);_(@_)">
                  <c:v>1.0325000000000002</c:v>
                </c:pt>
                <c:pt idx="48" formatCode="_(* #,##0.00_);_(* \(#,##0.00\);_(* &quot;-&quot;??_);_(@_)">
                  <c:v>1.0485</c:v>
                </c:pt>
                <c:pt idx="49" formatCode="_(* #,##0.00_);_(* \(#,##0.00\);_(* &quot;-&quot;??_);_(@_)">
                  <c:v>1.1634999999999998</c:v>
                </c:pt>
                <c:pt idx="50" formatCode="_(* #,##0.00_);_(* \(#,##0.00\);_(* &quot;-&quot;??_);_(@_)">
                  <c:v>1.1984999999999992</c:v>
                </c:pt>
                <c:pt idx="51" formatCode="_(* #,##0.00_);_(* \(#,##0.00\);_(* &quot;-&quot;??_);_(@_)">
                  <c:v>1.1934999999999996</c:v>
                </c:pt>
                <c:pt idx="52" formatCode="_(* #,##0.00_);_(* \(#,##0.00\);_(* &quot;-&quot;??_);_(@_)">
                  <c:v>1.1794999999999995</c:v>
                </c:pt>
                <c:pt idx="53" formatCode="_(* #,##0.00_);_(* \(#,##0.00\);_(* &quot;-&quot;??_);_(@_)">
                  <c:v>1.1569999999999994</c:v>
                </c:pt>
                <c:pt idx="54" formatCode="_(* #,##0.00_);_(* \(#,##0.00\);_(* &quot;-&quot;??_);_(@_)">
                  <c:v>1.1399999999999999</c:v>
                </c:pt>
                <c:pt idx="55" formatCode="_(* #,##0.00_);_(* \(#,##0.00\);_(* &quot;-&quot;??_);_(@_)">
                  <c:v>1.1434999999999995</c:v>
                </c:pt>
                <c:pt idx="56" formatCode="_(* #,##0.00_);_(* \(#,##0.00\);_(* &quot;-&quot;??_);_(@_)">
                  <c:v>1.1534999999999997</c:v>
                </c:pt>
                <c:pt idx="57" formatCode="_(* #,##0.00_);_(* \(#,##0.00\);_(* &quot;-&quot;??_);_(@_)">
                  <c:v>1.1899999999999991</c:v>
                </c:pt>
                <c:pt idx="58" formatCode="_(* #,##0.00_);_(* \(#,##0.00\);_(* &quot;-&quot;??_);_(@_)">
                  <c:v>1.1924999999999997</c:v>
                </c:pt>
                <c:pt idx="59" formatCode="_(* #,##0.00_);_(* \(#,##0.00\);_(* &quot;-&quot;??_);_(@_)">
                  <c:v>1.2050000000000005</c:v>
                </c:pt>
                <c:pt idx="60" formatCode="_(* #,##0.00_);_(* \(#,##0.00\);_(* &quot;-&quot;??_);_(@_)">
                  <c:v>1.19</c:v>
                </c:pt>
                <c:pt idx="61" formatCode="_(* #,##0.00_);_(* \(#,##0.00\);_(* &quot;-&quot;??_);_(@_)">
                  <c:v>1.2350000000000001</c:v>
                </c:pt>
                <c:pt idx="62" formatCode="_(* #,##0.00_);_(* \(#,##0.00\);_(* &quot;-&quot;??_);_(@_)">
                  <c:v>1.1665000000000005</c:v>
                </c:pt>
                <c:pt idx="63" formatCode="_(* #,##0.00_);_(* \(#,##0.00\);_(* &quot;-&quot;??_);_(@_)">
                  <c:v>1.0660000000000003</c:v>
                </c:pt>
                <c:pt idx="64" formatCode="_(* #,##0.00_);_(* \(#,##0.00\);_(* &quot;-&quot;??_);_(@_)">
                  <c:v>1.0884999999999998</c:v>
                </c:pt>
                <c:pt idx="65" formatCode="_(* #,##0.00_);_(* \(#,##0.00\);_(* &quot;-&quot;??_);_(@_)">
                  <c:v>1.0985</c:v>
                </c:pt>
                <c:pt idx="66" formatCode="_(* #,##0.00_);_(* \(#,##0.00\);_(* &quot;-&quot;??_);_(@_)">
                  <c:v>0.9784999999999997</c:v>
                </c:pt>
                <c:pt idx="67" formatCode="_(* #,##0.00_);_(* \(#,##0.00\);_(* &quot;-&quot;??_);_(@_)">
                  <c:v>0.9784999999999997</c:v>
                </c:pt>
                <c:pt idx="68" formatCode="_(* #,##0.00_);_(* \(#,##0.00\);_(* &quot;-&quot;??_);_(@_)">
                  <c:v>0.94899999999999951</c:v>
                </c:pt>
                <c:pt idx="69" formatCode="_(* #,##0.00_);_(* \(#,##0.00\);_(* &quot;-&quot;??_);_(@_)">
                  <c:v>0.8539999999999992</c:v>
                </c:pt>
                <c:pt idx="70" formatCode="_(* #,##0.00_);_(* \(#,##0.00\);_(* &quot;-&quot;??_);_(@_)">
                  <c:v>0.81899999999999973</c:v>
                </c:pt>
                <c:pt idx="71" formatCode="_(* #,##0.00_);_(* \(#,##0.00\);_(* &quot;-&quot;??_);_(@_)">
                  <c:v>0.87449999999999972</c:v>
                </c:pt>
                <c:pt idx="72" formatCode="_(* #,##0.00_);_(* \(#,##0.00\);_(* &quot;-&quot;??_);_(@_)">
                  <c:v>0.95899999999999963</c:v>
                </c:pt>
                <c:pt idx="73" formatCode="_(* #,##0.00_);_(* \(#,##0.00\);_(* &quot;-&quot;??_);_(@_)">
                  <c:v>0.96499999999999986</c:v>
                </c:pt>
                <c:pt idx="74" formatCode="_(* #,##0.00_);_(* \(#,##0.00\);_(* &quot;-&quot;??_);_(@_)">
                  <c:v>0.96000000000000019</c:v>
                </c:pt>
                <c:pt idx="75" formatCode="_(* #,##0.00_);_(* \(#,##0.00\);_(* &quot;-&quot;??_);_(@_)">
                  <c:v>0.98049999999999993</c:v>
                </c:pt>
                <c:pt idx="76" formatCode="_(* #,##0.00_);_(* \(#,##0.00\);_(* &quot;-&quot;??_);_(@_)">
                  <c:v>0.95549999999999924</c:v>
                </c:pt>
                <c:pt idx="77" formatCode="_(* #,##0.00_);_(* \(#,##0.00\);_(* &quot;-&quot;??_);_(@_)">
                  <c:v>0.92549999999999955</c:v>
                </c:pt>
                <c:pt idx="78" formatCode="_(* #,##0.00_);_(* \(#,##0.00\);_(* &quot;-&quot;??_);_(@_)">
                  <c:v>0.93599999999999928</c:v>
                </c:pt>
                <c:pt idx="79" formatCode="_(* #,##0.00_);_(* \(#,##0.00\);_(* &quot;-&quot;??_);_(@_)">
                  <c:v>0.96999999999999886</c:v>
                </c:pt>
                <c:pt idx="80" formatCode="_(* #,##0.00_);_(* \(#,##0.00\);_(* &quot;-&quot;??_);_(@_)">
                  <c:v>0.9789999999999992</c:v>
                </c:pt>
                <c:pt idx="81" formatCode="_(* #,##0.00_);_(* \(#,##0.00\);_(* &quot;-&quot;??_);_(@_)">
                  <c:v>0.97399999999999953</c:v>
                </c:pt>
                <c:pt idx="82" formatCode="_(* #,##0.00_);_(* \(#,##0.00\);_(* &quot;-&quot;??_);_(@_)">
                  <c:v>0.9379999999999995</c:v>
                </c:pt>
                <c:pt idx="83" formatCode="_(* #,##0.00_);_(* \(#,##0.00\);_(* &quot;-&quot;??_);_(@_)">
                  <c:v>0.91499999999999981</c:v>
                </c:pt>
                <c:pt idx="84" formatCode="_(* #,##0.00_);_(* \(#,##0.00\);_(* &quot;-&quot;??_);_(@_)">
                  <c:v>0.94250000000000045</c:v>
                </c:pt>
                <c:pt idx="85" formatCode="_(* #,##0.00_);_(* \(#,##0.00\);_(* &quot;-&quot;??_);_(@_)">
                  <c:v>0.9655000000000008</c:v>
                </c:pt>
                <c:pt idx="86" formatCode="_(* #,##0.00_);_(* \(#,##0.00\);_(* &quot;-&quot;??_);_(@_)">
                  <c:v>1.0030000000000008</c:v>
                </c:pt>
                <c:pt idx="87" formatCode="_(* #,##0.00_);_(* \(#,##0.00\);_(* &quot;-&quot;??_);_(@_)">
                  <c:v>1.0185000000000008</c:v>
                </c:pt>
                <c:pt idx="88" formatCode="_(* #,##0.00_);_(* \(#,##0.00\);_(* &quot;-&quot;??_);_(@_)">
                  <c:v>1.0185000000000008</c:v>
                </c:pt>
                <c:pt idx="89" formatCode="_(* #,##0.00_);_(* \(#,##0.00\);_(* &quot;-&quot;??_);_(@_)">
                  <c:v>0.98850000000000049</c:v>
                </c:pt>
                <c:pt idx="90" formatCode="_(* #,##0.00_);_(* \(#,##0.00\);_(* &quot;-&quot;??_);_(@_)">
                  <c:v>0.98750000000000004</c:v>
                </c:pt>
                <c:pt idx="91" formatCode="_(* #,##0.00_);_(* \(#,##0.00\);_(* &quot;-&quot;??_);_(@_)">
                  <c:v>0.9094999999999992</c:v>
                </c:pt>
                <c:pt idx="92" formatCode="_(* #,##0.00_);_(* \(#,##0.00\);_(* &quot;-&quot;??_);_(@_)">
                  <c:v>0.81999999999999884</c:v>
                </c:pt>
                <c:pt idx="93" formatCode="_(* #,##0.00_);_(* \(#,##0.00\);_(* &quot;-&quot;??_);_(@_)">
                  <c:v>0.91499999999999915</c:v>
                </c:pt>
                <c:pt idx="94" formatCode="_(* #,##0.00_);_(* \(#,##0.00\);_(* &quot;-&quot;??_);_(@_)">
                  <c:v>0.9249999999999986</c:v>
                </c:pt>
                <c:pt idx="95" formatCode="_(* #,##0.00_);_(* \(#,##0.00\);_(* &quot;-&quot;??_);_(@_)">
                  <c:v>0.88349999999999862</c:v>
                </c:pt>
                <c:pt idx="96" formatCode="_(* #,##0.00_);_(* \(#,##0.00\);_(* &quot;-&quot;??_);_(@_)">
                  <c:v>0.8284999999999989</c:v>
                </c:pt>
                <c:pt idx="97" formatCode="_(* #,##0.00_);_(* \(#,##0.00\);_(* &quot;-&quot;??_);_(@_)">
                  <c:v>0.78099999999999881</c:v>
                </c:pt>
                <c:pt idx="98" formatCode="_(* #,##0.00_);_(* \(#,##0.00\);_(* &quot;-&quot;??_);_(@_)">
                  <c:v>0.76549999999999874</c:v>
                </c:pt>
                <c:pt idx="99" formatCode="_(* #,##0.00_);_(* \(#,##0.00\);_(* &quot;-&quot;??_);_(@_)">
                  <c:v>0.70649999999999835</c:v>
                </c:pt>
                <c:pt idx="100" formatCode="_(* #,##0.00_);_(* \(#,##0.00\);_(* &quot;-&quot;??_);_(@_)">
                  <c:v>0.83199999999999785</c:v>
                </c:pt>
                <c:pt idx="101" formatCode="_(* #,##0.00_);_(* \(#,##0.00\);_(* &quot;-&quot;??_);_(@_)">
                  <c:v>0.84449999999999792</c:v>
                </c:pt>
                <c:pt idx="102" formatCode="_(* #,##0.00_);_(* \(#,##0.00\);_(* &quot;-&quot;??_);_(@_)">
                  <c:v>0.9189999999999976</c:v>
                </c:pt>
                <c:pt idx="103" formatCode="_(* #,##0.00_);_(* \(#,##0.00\);_(* &quot;-&quot;??_);_(@_)">
                  <c:v>0.99749999999999728</c:v>
                </c:pt>
                <c:pt idx="104" formatCode="_(* #,##0.00_);_(* \(#,##0.00\);_(* &quot;-&quot;??_);_(@_)">
                  <c:v>0.94749999999999734</c:v>
                </c:pt>
                <c:pt idx="105" formatCode="_(* #,##0.00_);_(* \(#,##0.00\);_(* &quot;-&quot;??_);_(@_)">
                  <c:v>0.87799999999999723</c:v>
                </c:pt>
                <c:pt idx="106" formatCode="_(* #,##0.00_);_(* \(#,##0.00\);_(* &quot;-&quot;??_);_(@_)">
                  <c:v>0.88799999999999746</c:v>
                </c:pt>
                <c:pt idx="107" formatCode="_(* #,##0.00_);_(* \(#,##0.00\);_(* &quot;-&quot;??_);_(@_)">
                  <c:v>0.87249999999999728</c:v>
                </c:pt>
                <c:pt idx="108" formatCode="_(* #,##0.00_);_(* \(#,##0.00\);_(* &quot;-&quot;??_);_(@_)">
                  <c:v>1.009499999999997</c:v>
                </c:pt>
                <c:pt idx="109" formatCode="_(* #,##0.00_);_(* \(#,##0.00\);_(* &quot;-&quot;??_);_(@_)">
                  <c:v>1.0679999999999978</c:v>
                </c:pt>
                <c:pt idx="110" formatCode="_(* #,##0.00_);_(* \(#,##0.00\);_(* &quot;-&quot;??_);_(@_)">
                  <c:v>1.1139999999999979</c:v>
                </c:pt>
                <c:pt idx="111" formatCode="_(* #,##0.00_);_(* \(#,##0.00\);_(* &quot;-&quot;??_);_(@_)">
                  <c:v>1.1814999999999984</c:v>
                </c:pt>
                <c:pt idx="112" formatCode="_(* #,##0.00_);_(* \(#,##0.00\);_(* &quot;-&quot;??_);_(@_)">
                  <c:v>1.220499999999999</c:v>
                </c:pt>
                <c:pt idx="113" formatCode="_(* #,##0.00_);_(* \(#,##0.00\);_(* &quot;-&quot;??_);_(@_)">
                  <c:v>1.1049999999999982</c:v>
                </c:pt>
                <c:pt idx="114" formatCode="_(* #,##0.00_);_(* \(#,##0.00\);_(* &quot;-&quot;??_);_(@_)">
                  <c:v>1.1899999999999984</c:v>
                </c:pt>
                <c:pt idx="115" formatCode="_(* #,##0.00_);_(* \(#,##0.00\);_(* &quot;-&quot;??_);_(@_)">
                  <c:v>1.1994999999999982</c:v>
                </c:pt>
                <c:pt idx="116" formatCode="_(* #,##0.00_);_(* \(#,##0.00\);_(* &quot;-&quot;??_);_(@_)">
                  <c:v>1.2389999999999985</c:v>
                </c:pt>
                <c:pt idx="117" formatCode="_(* #,##0.00_);_(* \(#,##0.00\);_(* &quot;-&quot;??_);_(@_)">
                  <c:v>1.3404999999999987</c:v>
                </c:pt>
                <c:pt idx="118" formatCode="_(* #,##0.00_);_(* \(#,##0.00\);_(* &quot;-&quot;??_);_(@_)">
                  <c:v>1.3569999999999987</c:v>
                </c:pt>
                <c:pt idx="119" formatCode="_(* #,##0.00_);_(* \(#,##0.00\);_(* &quot;-&quot;??_);_(@_)">
                  <c:v>1.349499999999999</c:v>
                </c:pt>
                <c:pt idx="120" formatCode="_(* #,##0.00_);_(* \(#,##0.00\);_(* &quot;-&quot;??_);_(@_)">
                  <c:v>1.2474999999999994</c:v>
                </c:pt>
                <c:pt idx="121" formatCode="_(* #,##0.00_);_(* \(#,##0.00\);_(* &quot;-&quot;??_);_(@_)">
                  <c:v>1.2224999999999995</c:v>
                </c:pt>
                <c:pt idx="122" formatCode="_(* #,##0.00_);_(* \(#,##0.00\);_(* &quot;-&quot;??_);_(@_)">
                  <c:v>1.1799999999999997</c:v>
                </c:pt>
                <c:pt idx="123" formatCode="_(* #,##0.00_);_(* \(#,##0.00\);_(* &quot;-&quot;??_);_(@_)">
                  <c:v>1.2250000000000001</c:v>
                </c:pt>
                <c:pt idx="124" formatCode="_(* #,##0.00_);_(* \(#,##0.00\);_(* &quot;-&quot;??_);_(@_)">
                  <c:v>1.2399999999999998</c:v>
                </c:pt>
                <c:pt idx="125" formatCode="_(* #,##0.00_);_(* \(#,##0.00\);_(* &quot;-&quot;??_);_(@_)">
                  <c:v>1.2839999999999996</c:v>
                </c:pt>
                <c:pt idx="126" formatCode="_(* #,##0.00_);_(* \(#,##0.00\);_(* &quot;-&quot;??_);_(@_)">
                  <c:v>1.2414999999999998</c:v>
                </c:pt>
                <c:pt idx="127" formatCode="_(* #,##0.00_);_(* \(#,##0.00\);_(* &quot;-&quot;??_);_(@_)">
                  <c:v>1.2270000000000003</c:v>
                </c:pt>
                <c:pt idx="128" formatCode="_(* #,##0.00_);_(* \(#,##0.00\);_(* &quot;-&quot;??_);_(@_)">
                  <c:v>1.1300000000000003</c:v>
                </c:pt>
                <c:pt idx="129" formatCode="_(* #,##0.00_);_(* \(#,##0.00\);_(* &quot;-&quot;??_);_(@_)">
                  <c:v>1.0665</c:v>
                </c:pt>
                <c:pt idx="130" formatCode="_(* #,##0.00_);_(* \(#,##0.00\);_(* &quot;-&quot;??_);_(@_)">
                  <c:v>1.0854999999999997</c:v>
                </c:pt>
                <c:pt idx="131" formatCode="_(* #,##0.00_);_(* \(#,##0.00\);_(* &quot;-&quot;??_);_(@_)">
                  <c:v>1.0454999999999999</c:v>
                </c:pt>
                <c:pt idx="132" formatCode="_(* #,##0.00_);_(* \(#,##0.00\);_(* &quot;-&quot;??_);_(@_)">
                  <c:v>1.0449999999999995</c:v>
                </c:pt>
                <c:pt idx="133" formatCode="_(* #,##0.00_);_(* \(#,##0.00\);_(* &quot;-&quot;??_);_(@_)">
                  <c:v>1.0465000000000004</c:v>
                </c:pt>
                <c:pt idx="134" formatCode="_(* #,##0.00_);_(* \(#,##0.00\);_(* &quot;-&quot;??_);_(@_)">
                  <c:v>0.93150000000000044</c:v>
                </c:pt>
                <c:pt idx="135" formatCode="_(* #,##0.00_);_(* \(#,##0.00\);_(* &quot;-&quot;??_);_(@_)">
                  <c:v>0.91200000000000048</c:v>
                </c:pt>
                <c:pt idx="136" formatCode="_(* #,##0.00_);_(* \(#,##0.00\);_(* &quot;-&quot;??_);_(@_)">
                  <c:v>0.90750000000000031</c:v>
                </c:pt>
                <c:pt idx="137" formatCode="_(* #,##0.00_);_(* \(#,##0.00\);_(* &quot;-&quot;??_);_(@_)">
                  <c:v>0.85300000000000009</c:v>
                </c:pt>
                <c:pt idx="138" formatCode="_(* #,##0.00_);_(* \(#,##0.00\);_(* &quot;-&quot;??_);_(@_)">
                  <c:v>0.81799999999999995</c:v>
                </c:pt>
                <c:pt idx="139" formatCode="_(* #,##0.00_);_(* \(#,##0.00\);_(* &quot;-&quot;??_);_(@_)">
                  <c:v>0.82549999999999957</c:v>
                </c:pt>
                <c:pt idx="140" formatCode="_(* #,##0.00_);_(* \(#,##0.00\);_(* &quot;-&quot;??_);_(@_)">
                  <c:v>0.80299999999999938</c:v>
                </c:pt>
                <c:pt idx="141" formatCode="_(* #,##0.00_);_(* \(#,##0.00\);_(* &quot;-&quot;??_);_(@_)">
                  <c:v>0.810499999999999</c:v>
                </c:pt>
                <c:pt idx="142" formatCode="_(* #,##0.00_);_(* \(#,##0.00\);_(* &quot;-&quot;??_);_(@_)">
                  <c:v>0.7999999999999986</c:v>
                </c:pt>
                <c:pt idx="143" formatCode="_(* #,##0.00_);_(* \(#,##0.00\);_(* &quot;-&quot;??_);_(@_)">
                  <c:v>0.69999999999999862</c:v>
                </c:pt>
                <c:pt idx="144" formatCode="_(* #,##0.00_);_(* \(#,##0.00\);_(* &quot;-&quot;??_);_(@_)">
                  <c:v>0.6599999999999987</c:v>
                </c:pt>
                <c:pt idx="145" formatCode="_(* #,##0.00_);_(* \(#,##0.00\);_(* &quot;-&quot;??_);_(@_)">
                  <c:v>0.6149999999999991</c:v>
                </c:pt>
                <c:pt idx="146" formatCode="_(* #,##0.00_);_(* \(#,##0.00\);_(* &quot;-&quot;??_);_(@_)">
                  <c:v>0.59899999999999953</c:v>
                </c:pt>
                <c:pt idx="147" formatCode="_(* #,##0.00_);_(* \(#,##0.00\);_(* &quot;-&quot;??_);_(@_)">
                  <c:v>0.63399999999999967</c:v>
                </c:pt>
                <c:pt idx="148" formatCode="_(* #,##0.00_);_(* \(#,##0.00\);_(* &quot;-&quot;??_);_(@_)">
                  <c:v>0.5840000000000003</c:v>
                </c:pt>
                <c:pt idx="149" formatCode="_(* #,##0.00_);_(* \(#,##0.00\);_(* &quot;-&quot;??_);_(@_)">
                  <c:v>0.60850000000000082</c:v>
                </c:pt>
                <c:pt idx="150" formatCode="_(* #,##0.00_);_(* \(#,##0.00\);_(* &quot;-&quot;??_);_(@_)">
                  <c:v>0.54700000000000126</c:v>
                </c:pt>
                <c:pt idx="151" formatCode="_(* #,##0.00_);_(* \(#,##0.00\);_(* &quot;-&quot;??_);_(@_)">
                  <c:v>0.53200000000000147</c:v>
                </c:pt>
                <c:pt idx="152" formatCode="_(* #,##0.00_);_(* \(#,##0.00\);_(* &quot;-&quot;??_);_(@_)">
                  <c:v>0.50250000000000195</c:v>
                </c:pt>
                <c:pt idx="153" formatCode="_(* #,##0.00_);_(* \(#,##0.00\);_(* &quot;-&quot;??_);_(@_)">
                  <c:v>0.48100000000000165</c:v>
                </c:pt>
                <c:pt idx="154" formatCode="_(* #,##0.00_);_(* \(#,##0.00\);_(* &quot;-&quot;??_);_(@_)">
                  <c:v>0.46100000000000135</c:v>
                </c:pt>
                <c:pt idx="155" formatCode="_(* #,##0.00_);_(* \(#,##0.00\);_(* &quot;-&quot;??_);_(@_)">
                  <c:v>0.46150000000000163</c:v>
                </c:pt>
                <c:pt idx="156" formatCode="_(* #,##0.00_);_(* \(#,##0.00\);_(* &quot;-&quot;??_);_(@_)">
                  <c:v>0.43500000000000155</c:v>
                </c:pt>
                <c:pt idx="157" formatCode="_(* #,##0.00_);_(* \(#,##0.00\);_(* &quot;-&quot;??_);_(@_)">
                  <c:v>0.39050000000000151</c:v>
                </c:pt>
                <c:pt idx="158" formatCode="_(* #,##0.00_);_(* \(#,##0.00\);_(* &quot;-&quot;??_);_(@_)">
                  <c:v>0.39450000000000146</c:v>
                </c:pt>
                <c:pt idx="159" formatCode="_(* #,##0.00_);_(* \(#,##0.00\);_(* &quot;-&quot;??_);_(@_)">
                  <c:v>0.38900000000000218</c:v>
                </c:pt>
                <c:pt idx="160" formatCode="_(* #,##0.00_);_(* \(#,##0.00\);_(* &quot;-&quot;??_);_(@_)">
                  <c:v>0.35350000000000248</c:v>
                </c:pt>
                <c:pt idx="161" formatCode="_(* #,##0.00_);_(* \(#,##0.00\);_(* &quot;-&quot;??_);_(@_)">
                  <c:v>0.32800000000000296</c:v>
                </c:pt>
                <c:pt idx="162" formatCode="_(* #,##0.00_);_(* \(#,##0.00\);_(* &quot;-&quot;??_);_(@_)">
                  <c:v>0.32050000000000339</c:v>
                </c:pt>
                <c:pt idx="163" formatCode="_(* #,##0.00_);_(* \(#,##0.00\);_(* &quot;-&quot;??_);_(@_)">
                  <c:v>0.3005000000000031</c:v>
                </c:pt>
                <c:pt idx="164" formatCode="_(* #,##0.00_);_(* \(#,##0.00\);_(* &quot;-&quot;??_);_(@_)">
                  <c:v>0.32500000000000284</c:v>
                </c:pt>
                <c:pt idx="165" formatCode="_(* #,##0.00_);_(* \(#,##0.00\);_(* &quot;-&quot;??_);_(@_)">
                  <c:v>0.45400000000000273</c:v>
                </c:pt>
                <c:pt idx="166" formatCode="_(* #,##0.00_);_(* \(#,##0.00\);_(* &quot;-&quot;??_);_(@_)">
                  <c:v>0.47500000000000214</c:v>
                </c:pt>
                <c:pt idx="167" formatCode="_(* #,##0.00_);_(* \(#,##0.00\);_(* &quot;-&quot;??_);_(@_)">
                  <c:v>0.47000000000000169</c:v>
                </c:pt>
                <c:pt idx="168" formatCode="_(* #,##0.00_);_(* \(#,##0.00\);_(* &quot;-&quot;??_);_(@_)">
                  <c:v>0.54000000000000126</c:v>
                </c:pt>
                <c:pt idx="169" formatCode="_(* #,##0.00_);_(* \(#,##0.00\);_(* &quot;-&quot;??_);_(@_)">
                  <c:v>0.53300000000000125</c:v>
                </c:pt>
                <c:pt idx="170" formatCode="_(* #,##0.00_);_(* \(#,##0.00\);_(* &quot;-&quot;??_);_(@_)">
                  <c:v>0.63050000000000139</c:v>
                </c:pt>
                <c:pt idx="171" formatCode="_(* #,##0.00_);_(* \(#,##0.00\);_(* &quot;-&quot;??_);_(@_)">
                  <c:v>0.68550000000000111</c:v>
                </c:pt>
                <c:pt idx="172" formatCode="_(* #,##0.00_);_(* \(#,##0.00\);_(* &quot;-&quot;??_);_(@_)">
                  <c:v>0.70400000000000063</c:v>
                </c:pt>
                <c:pt idx="173" formatCode="_(* #,##0.00_);_(* \(#,##0.00\);_(* &quot;-&quot;??_);_(@_)">
                  <c:v>0.75450000000000017</c:v>
                </c:pt>
                <c:pt idx="174" formatCode="_(* #,##0.00_);_(* \(#,##0.00\);_(* &quot;-&quot;??_);_(@_)">
                  <c:v>0.90000000000000069</c:v>
                </c:pt>
                <c:pt idx="175" formatCode="_(* #,##0.00_);_(* \(#,##0.00\);_(* &quot;-&quot;??_);_(@_)">
                  <c:v>0.9590000000000003</c:v>
                </c:pt>
                <c:pt idx="176" formatCode="_(* #,##0.00_);_(* \(#,##0.00\);_(* &quot;-&quot;??_);_(@_)">
                  <c:v>1.0005000000000002</c:v>
                </c:pt>
                <c:pt idx="177" formatCode="_(* #,##0.00_);_(* \(#,##0.00\);_(* &quot;-&quot;??_);_(@_)">
                  <c:v>1.0255000000000003</c:v>
                </c:pt>
                <c:pt idx="178" formatCode="_(* #,##0.00_);_(* \(#,##0.00\);_(* &quot;-&quot;??_);_(@_)">
                  <c:v>1.0265000000000009</c:v>
                </c:pt>
                <c:pt idx="179" formatCode="_(* #,##0.00_);_(* \(#,##0.00\);_(* &quot;-&quot;??_);_(@_)">
                  <c:v>1.032</c:v>
                </c:pt>
                <c:pt idx="180" formatCode="_(* #,##0.00_);_(* \(#,##0.00\);_(* &quot;-&quot;??_);_(@_)">
                  <c:v>1.0625</c:v>
                </c:pt>
                <c:pt idx="181" formatCode="_(* #,##0.00_);_(* \(#,##0.00\);_(* &quot;-&quot;??_);_(@_)">
                  <c:v>1.1529999999999994</c:v>
                </c:pt>
                <c:pt idx="182" formatCode="_(* #,##0.00_);_(* \(#,##0.00\);_(* &quot;-&quot;??_);_(@_)">
                  <c:v>1.1909999999999989</c:v>
                </c:pt>
                <c:pt idx="183" formatCode="_(* #,##0.00_);_(* \(#,##0.00\);_(* &quot;-&quot;??_);_(@_)">
                  <c:v>1.2379999999999989</c:v>
                </c:pt>
                <c:pt idx="184" formatCode="_(* #,##0.00_);_(* \(#,##0.00\);_(* &quot;-&quot;??_);_(@_)">
                  <c:v>1.2209999999999988</c:v>
                </c:pt>
                <c:pt idx="185" formatCode="_(* #,##0.00_);_(* \(#,##0.00\);_(* &quot;-&quot;??_);_(@_)">
                  <c:v>1.2869999999999984</c:v>
                </c:pt>
                <c:pt idx="186" formatCode="_(* #,##0.00_);_(* \(#,##0.00\);_(* &quot;-&quot;??_);_(@_)">
                  <c:v>1.291999999999998</c:v>
                </c:pt>
                <c:pt idx="187" formatCode="_(* #,##0.00_);_(* \(#,##0.00\);_(* &quot;-&quot;??_);_(@_)">
                  <c:v>1.2914999999999979</c:v>
                </c:pt>
                <c:pt idx="188" formatCode="_(* #,##0.00_);_(* \(#,##0.00\);_(* &quot;-&quot;??_);_(@_)">
                  <c:v>1.3514999999999979</c:v>
                </c:pt>
                <c:pt idx="189" formatCode="_(* #,##0.00_);_(* \(#,##0.00\);_(* &quot;-&quot;??_);_(@_)">
                  <c:v>1.3779999999999979</c:v>
                </c:pt>
                <c:pt idx="190" formatCode="_(* #,##0.00_);_(* \(#,##0.00\);_(* &quot;-&quot;??_);_(@_)">
                  <c:v>1.3069999999999979</c:v>
                </c:pt>
                <c:pt idx="191" formatCode="_(* #,##0.00_);_(* \(#,##0.00\);_(* &quot;-&quot;??_);_(@_)">
                  <c:v>1.2659999999999982</c:v>
                </c:pt>
                <c:pt idx="192" formatCode="_(* #,##0.00_);_(* \(#,##0.00\);_(* &quot;-&quot;??_);_(@_)">
                  <c:v>1.2299999999999982</c:v>
                </c:pt>
                <c:pt idx="193" formatCode="_(* #,##0.00_);_(* \(#,##0.00\);_(* &quot;-&quot;??_);_(@_)">
                  <c:v>1.2059999999999989</c:v>
                </c:pt>
                <c:pt idx="194" formatCode="_(* #,##0.00_);_(* \(#,##0.00\);_(* &quot;-&quot;??_);_(@_)">
                  <c:v>1.0904999999999987</c:v>
                </c:pt>
                <c:pt idx="195" formatCode="_(* #,##0.00_);_(* \(#,##0.00\);_(* &quot;-&quot;??_);_(@_)">
                  <c:v>1.053499999999999</c:v>
                </c:pt>
                <c:pt idx="196" formatCode="_(* #,##0.00_);_(* \(#,##0.00\);_(* &quot;-&quot;??_);_(@_)">
                  <c:v>1.0084999999999986</c:v>
                </c:pt>
                <c:pt idx="197" formatCode="_(* #,##0.00_);_(* \(#,##0.00\);_(* &quot;-&quot;??_);_(@_)">
                  <c:v>1.0084999999999986</c:v>
                </c:pt>
                <c:pt idx="198" formatCode="_(* #,##0.00_);_(* \(#,##0.00\);_(* &quot;-&quot;??_);_(@_)">
                  <c:v>1.0539999999999985</c:v>
                </c:pt>
                <c:pt idx="199" formatCode="_(* #,##0.00_);_(* \(#,##0.00\);_(* &quot;-&quot;??_);_(@_)">
                  <c:v>1.0839999999999983</c:v>
                </c:pt>
                <c:pt idx="200" formatCode="_(* #,##0.00_);_(* \(#,##0.00\);_(* &quot;-&quot;??_);_(@_)">
                  <c:v>1.0439999999999983</c:v>
                </c:pt>
                <c:pt idx="201" formatCode="_(* #,##0.00_);_(* \(#,##0.00\);_(* &quot;-&quot;??_);_(@_)">
                  <c:v>0.97649999999999859</c:v>
                </c:pt>
                <c:pt idx="202" formatCode="_(* #,##0.00_);_(* \(#,##0.00\);_(* &quot;-&quot;??_);_(@_)">
                  <c:v>0.96349999999999836</c:v>
                </c:pt>
                <c:pt idx="203" formatCode="_(* #,##0.00_);_(* \(#,##0.00\);_(* &quot;-&quot;??_);_(@_)">
                  <c:v>0.94149999999999845</c:v>
                </c:pt>
                <c:pt idx="204" formatCode="_(* #,##0.00_);_(* \(#,##0.00\);_(* &quot;-&quot;??_);_(@_)">
                  <c:v>0.92149999999999888</c:v>
                </c:pt>
                <c:pt idx="205" formatCode="_(* #,##0.00_);_(* \(#,##0.00\);_(* &quot;-&quot;??_);_(@_)">
                  <c:v>0.78599999999999925</c:v>
                </c:pt>
                <c:pt idx="206" formatCode="_(* #,##0.00_);_(* \(#,##0.00\);_(* &quot;-&quot;??_);_(@_)">
                  <c:v>0.80599999999999949</c:v>
                </c:pt>
                <c:pt idx="207" formatCode="_(* #,##0.00_);_(* \(#,##0.00\);_(* &quot;-&quot;??_);_(@_)">
                  <c:v>0.82149999999999967</c:v>
                </c:pt>
                <c:pt idx="208" formatCode="_(* #,##0.00_);_(* \(#,##0.00\);_(* &quot;-&quot;??_);_(@_)">
                  <c:v>0.78599999999999925</c:v>
                </c:pt>
                <c:pt idx="209" formatCode="_(* #,##0.00_);_(* \(#,##0.00\);_(* &quot;-&quot;??_);_(@_)">
                  <c:v>0.77999999999999903</c:v>
                </c:pt>
                <c:pt idx="210" formatCode="_(* #,##0.00_);_(* \(#,##0.00\);_(* &quot;-&quot;??_);_(@_)">
                  <c:v>0.83099999999999885</c:v>
                </c:pt>
                <c:pt idx="211" formatCode="_(* #,##0.00_);_(* \(#,##0.00\);_(* &quot;-&quot;??_);_(@_)">
                  <c:v>0.94649999999999823</c:v>
                </c:pt>
                <c:pt idx="212" formatCode="_(* #,##0.00_);_(* \(#,##0.00\);_(* &quot;-&quot;??_);_(@_)">
                  <c:v>1.0104999999999982</c:v>
                </c:pt>
                <c:pt idx="213" formatCode="_(* #,##0.00_);_(* \(#,##0.00\);_(* &quot;-&quot;??_);_(@_)">
                  <c:v>0.97399999999999809</c:v>
                </c:pt>
                <c:pt idx="214" formatCode="_(* #,##0.00_);_(* \(#,##0.00\);_(* &quot;-&quot;??_);_(@_)">
                  <c:v>0.93899999999999795</c:v>
                </c:pt>
                <c:pt idx="215" formatCode="_(* #,##0.00_);_(* \(#,##0.00\);_(* &quot;-&quot;??_);_(@_)">
                  <c:v>0.91149999999999809</c:v>
                </c:pt>
                <c:pt idx="216" formatCode="_(* #,##0.00_);_(* \(#,##0.00\);_(* &quot;-&quot;??_);_(@_)">
                  <c:v>0.90649999999999831</c:v>
                </c:pt>
                <c:pt idx="217" formatCode="_(* #,##0.00_);_(* \(#,##0.00\);_(* &quot;-&quot;??_);_(@_)">
                  <c:v>0.87649999999999861</c:v>
                </c:pt>
                <c:pt idx="218" formatCode="_(* #,##0.00_);_(* \(#,##0.00\);_(* &quot;-&quot;??_);_(@_)">
                  <c:v>0.8109999999999985</c:v>
                </c:pt>
                <c:pt idx="219" formatCode="_(* #,##0.00_);_(* \(#,##0.00\);_(* &quot;-&quot;??_);_(@_)">
                  <c:v>0.7659999999999989</c:v>
                </c:pt>
                <c:pt idx="220" formatCode="_(* #,##0.00_);_(* \(#,##0.00\);_(* &quot;-&quot;??_);_(@_)">
                  <c:v>0.76099999999999857</c:v>
                </c:pt>
                <c:pt idx="221" formatCode="_(* #,##0.00_);_(* \(#,##0.00\);_(* &quot;-&quot;??_);_(@_)">
                  <c:v>0.72349999999999848</c:v>
                </c:pt>
                <c:pt idx="222" formatCode="_(* #,##0.00_);_(* \(#,##0.00\);_(* &quot;-&quot;??_);_(@_)">
                  <c:v>0.68399999999999894</c:v>
                </c:pt>
                <c:pt idx="223" formatCode="_(* #,##0.00_);_(* \(#,##0.00\);_(* &quot;-&quot;??_);_(@_)">
                  <c:v>0.65399999999999925</c:v>
                </c:pt>
                <c:pt idx="224" formatCode="_(* #,##0.00_);_(* \(#,##0.00\);_(* &quot;-&quot;??_);_(@_)">
                  <c:v>0.64149999999999918</c:v>
                </c:pt>
                <c:pt idx="225" formatCode="_(* #,##0.00_);_(* \(#,##0.00\);_(* &quot;-&quot;??_);_(@_)">
                  <c:v>0.57749999999999913</c:v>
                </c:pt>
                <c:pt idx="226" formatCode="_(* #,##0.00_);_(* \(#,##0.00\);_(* &quot;-&quot;??_);_(@_)">
                  <c:v>0.52749999999999919</c:v>
                </c:pt>
                <c:pt idx="227" formatCode="_(* #,##0.00_);_(* \(#,##0.00\);_(* &quot;-&quot;??_);_(@_)">
                  <c:v>0.47249999999999942</c:v>
                </c:pt>
                <c:pt idx="228" formatCode="_(* #,##0.00_);_(* \(#,##0.00\);_(* &quot;-&quot;??_);_(@_)">
                  <c:v>0.37299999999999967</c:v>
                </c:pt>
                <c:pt idx="229" formatCode="_(* #,##0.00_);_(* \(#,##0.00\);_(* &quot;-&quot;??_);_(@_)">
                  <c:v>0.32999999999999974</c:v>
                </c:pt>
                <c:pt idx="230" formatCode="_(* #,##0.00_);_(* \(#,##0.00\);_(* &quot;-&quot;??_);_(@_)">
                  <c:v>0.2299999999999997</c:v>
                </c:pt>
                <c:pt idx="231" formatCode="_(* #,##0.00_);_(* \(#,##0.00\);_(* &quot;-&quot;??_);_(@_)">
                  <c:v>6.5500000000000114E-2</c:v>
                </c:pt>
                <c:pt idx="232" formatCode="_(* #,##0.00_);_(* \(#,##0.00\);_(* &quot;-&quot;??_);_(@_)">
                  <c:v>0</c:v>
                </c:pt>
                <c:pt idx="233" formatCode="_(* #,##0.00_);_(* \(#,##0.00\);_(* &quot;-&quot;??_);_(@_)">
                  <c:v>0</c:v>
                </c:pt>
                <c:pt idx="234" formatCode="_(* #,##0.00_);_(* \(#,##0.00\);_(* &quot;-&quot;??_);_(@_)">
                  <c:v>0</c:v>
                </c:pt>
                <c:pt idx="235" formatCode="_(* #,##0.00_);_(* \(#,##0.00\);_(* &quot;-&quot;??_);_(@_)">
                  <c:v>0</c:v>
                </c:pt>
                <c:pt idx="236" formatCode="_(* #,##0.00_);_(* \(#,##0.00\);_(* &quot;-&quot;??_);_(@_)">
                  <c:v>0</c:v>
                </c:pt>
                <c:pt idx="237" formatCode="_(* #,##0.00_);_(* \(#,##0.00\);_(* &quot;-&quot;??_);_(@_)">
                  <c:v>0</c:v>
                </c:pt>
                <c:pt idx="238" formatCode="_(* #,##0.00_);_(* \(#,##0.00\);_(* &quot;-&quot;??_);_(@_)">
                  <c:v>0</c:v>
                </c:pt>
                <c:pt idx="239" formatCode="_(* #,##0.00_);_(* \(#,##0.00\);_(* &quot;-&quot;??_);_(@_)">
                  <c:v>0</c:v>
                </c:pt>
                <c:pt idx="240" formatCode="_(* #,##0.00_);_(* \(#,##0.00\);_(* &quot;-&quot;??_);_(@_)">
                  <c:v>0</c:v>
                </c:pt>
                <c:pt idx="241" formatCode="_(* #,##0.00_);_(* \(#,##0.00\);_(* &quot;-&quot;??_);_(@_)">
                  <c:v>0</c:v>
                </c:pt>
                <c:pt idx="242" formatCode="_(* #,##0.00_);_(* \(#,##0.00\);_(* &quot;-&quot;??_);_(@_)">
                  <c:v>0</c:v>
                </c:pt>
                <c:pt idx="243" formatCode="_(* #,##0.00_);_(* \(#,##0.00\);_(* &quot;-&quot;??_);_(@_)">
                  <c:v>0</c:v>
                </c:pt>
                <c:pt idx="244" formatCode="_(* #,##0.00_);_(* \(#,##0.00\);_(* &quot;-&quot;??_);_(@_)">
                  <c:v>0</c:v>
                </c:pt>
                <c:pt idx="245" formatCode="_(* #,##0.00_);_(* \(#,##0.00\);_(* &quot;-&quot;??_);_(@_)">
                  <c:v>0</c:v>
                </c:pt>
                <c:pt idx="246" formatCode="_(* #,##0.00_);_(* \(#,##0.00\);_(* &quot;-&quot;??_);_(@_)">
                  <c:v>0</c:v>
                </c:pt>
                <c:pt idx="247" formatCode="_(* #,##0.00_);_(* \(#,##0.00\);_(* &quot;-&quot;??_);_(@_)">
                  <c:v>0</c:v>
                </c:pt>
                <c:pt idx="248" formatCode="_(* #,##0.00_);_(* \(#,##0.00\);_(* &quot;-&quot;??_);_(@_)">
                  <c:v>0</c:v>
                </c:pt>
                <c:pt idx="249" formatCode="_(* #,##0.00_);_(* \(#,##0.00\);_(* &quot;-&quot;??_);_(@_)">
                  <c:v>0</c:v>
                </c:pt>
                <c:pt idx="250" formatCode="_(* #,##0.00_);_(* \(#,##0.00\);_(* &quot;-&quot;??_);_(@_)">
                  <c:v>0</c:v>
                </c:pt>
                <c:pt idx="251" formatCode="_(* #,##0.00_);_(* \(#,##0.00\);_(* &quot;-&quot;??_);_(@_)">
                  <c:v>0</c:v>
                </c:pt>
                <c:pt idx="252" formatCode="_(* #,##0.00_);_(* \(#,##0.00\);_(* &quot;-&quot;??_);_(@_)">
                  <c:v>0</c:v>
                </c:pt>
                <c:pt idx="253" formatCode="_(* #,##0.00_);_(* \(#,##0.00\);_(* &quot;-&quot;??_);_(@_)">
                  <c:v>0</c:v>
                </c:pt>
                <c:pt idx="254" formatCode="_(* #,##0.00_);_(* \(#,##0.00\);_(* &quot;-&quot;??_);_(@_)">
                  <c:v>0</c:v>
                </c:pt>
                <c:pt idx="255" formatCode="_(* #,##0.00_);_(* \(#,##0.00\);_(* &quot;-&quot;??_);_(@_)">
                  <c:v>0</c:v>
                </c:pt>
                <c:pt idx="256" formatCode="_(* #,##0.00_);_(* \(#,##0.00\);_(* &quot;-&quot;??_);_(@_)">
                  <c:v>0</c:v>
                </c:pt>
                <c:pt idx="257" formatCode="_(* #,##0.00_);_(* \(#,##0.00\);_(* &quot;-&quot;??_);_(@_)">
                  <c:v>0</c:v>
                </c:pt>
                <c:pt idx="258" formatCode="_(* #,##0.00_);_(* \(#,##0.00\);_(* &quot;-&quot;??_);_(@_)">
                  <c:v>0</c:v>
                </c:pt>
                <c:pt idx="259" formatCode="_(* #,##0.00_);_(* \(#,##0.00\);_(* &quot;-&quot;??_);_(@_)">
                  <c:v>0</c:v>
                </c:pt>
                <c:pt idx="260" formatCode="_(* #,##0.00_);_(* \(#,##0.00\);_(* &quot;-&quot;??_);_(@_)">
                  <c:v>0</c:v>
                </c:pt>
                <c:pt idx="261" formatCode="_(* #,##0.00_);_(* \(#,##0.00\);_(* &quot;-&quot;??_);_(@_)">
                  <c:v>0</c:v>
                </c:pt>
                <c:pt idx="262" formatCode="_(* #,##0.00_);_(* \(#,##0.00\);_(* &quot;-&quot;??_);_(@_)">
                  <c:v>0</c:v>
                </c:pt>
                <c:pt idx="263" formatCode="_(* #,##0.00_);_(* \(#,##0.00\);_(* &quot;-&quot;??_);_(@_)">
                  <c:v>0</c:v>
                </c:pt>
                <c:pt idx="264" formatCode="_(* #,##0.00_);_(* \(#,##0.00\);_(* &quot;-&quot;??_);_(@_)">
                  <c:v>0</c:v>
                </c:pt>
                <c:pt idx="265" formatCode="_(* #,##0.00_);_(* \(#,##0.00\);_(* &quot;-&quot;??_);_(@_)">
                  <c:v>0</c:v>
                </c:pt>
                <c:pt idx="266" formatCode="_(* #,##0.00_);_(* \(#,##0.00\);_(* &quot;-&quot;??_);_(@_)">
                  <c:v>0</c:v>
                </c:pt>
                <c:pt idx="267" formatCode="_(* #,##0.00_);_(* \(#,##0.00\);_(* &quot;-&quot;??_);_(@_)">
                  <c:v>0</c:v>
                </c:pt>
                <c:pt idx="268" formatCode="_(* #,##0.00_);_(* \(#,##0.00\);_(* &quot;-&quot;??_);_(@_)">
                  <c:v>0</c:v>
                </c:pt>
                <c:pt idx="269" formatCode="_(* #,##0.00_);_(* \(#,##0.00\);_(* &quot;-&quot;??_);_(@_)">
                  <c:v>0</c:v>
                </c:pt>
                <c:pt idx="270" formatCode="_(* #,##0.00_);_(* \(#,##0.00\);_(* &quot;-&quot;??_);_(@_)">
                  <c:v>0</c:v>
                </c:pt>
                <c:pt idx="271" formatCode="_(* #,##0.00_);_(* \(#,##0.00\);_(* &quot;-&quot;??_);_(@_)">
                  <c:v>0</c:v>
                </c:pt>
                <c:pt idx="272" formatCode="_(* #,##0.00_);_(* \(#,##0.00\);_(* &quot;-&quot;??_);_(@_)">
                  <c:v>0</c:v>
                </c:pt>
                <c:pt idx="273" formatCode="_(* #,##0.00_);_(* \(#,##0.00\);_(* &quot;-&quot;??_);_(@_)">
                  <c:v>0</c:v>
                </c:pt>
                <c:pt idx="274" formatCode="_(* #,##0.00_);_(* \(#,##0.00\);_(* &quot;-&quot;??_);_(@_)">
                  <c:v>0</c:v>
                </c:pt>
                <c:pt idx="275" formatCode="_(* #,##0.00_);_(* \(#,##0.00\);_(* &quot;-&quot;??_);_(@_)">
                  <c:v>0</c:v>
                </c:pt>
                <c:pt idx="276" formatCode="_(* #,##0.00_);_(* \(#,##0.00\);_(* &quot;-&quot;??_);_(@_)">
                  <c:v>0</c:v>
                </c:pt>
                <c:pt idx="277" formatCode="_(* #,##0.00_);_(* \(#,##0.00\);_(* &quot;-&quot;??_);_(@_)">
                  <c:v>0</c:v>
                </c:pt>
                <c:pt idx="278" formatCode="_(* #,##0.00_);_(* \(#,##0.00\);_(* &quot;-&quot;??_);_(@_)">
                  <c:v>0</c:v>
                </c:pt>
                <c:pt idx="279" formatCode="_(* #,##0.00_);_(* \(#,##0.00\);_(* &quot;-&quot;??_);_(@_)">
                  <c:v>0</c:v>
                </c:pt>
                <c:pt idx="280" formatCode="_(* #,##0.00_);_(* \(#,##0.00\);_(* &quot;-&quot;??_);_(@_)">
                  <c:v>0</c:v>
                </c:pt>
                <c:pt idx="281" formatCode="_(* #,##0.00_);_(* \(#,##0.00\);_(* &quot;-&quot;??_);_(@_)">
                  <c:v>0</c:v>
                </c:pt>
                <c:pt idx="282" formatCode="_(* #,##0.00_);_(* \(#,##0.00\);_(* &quot;-&quot;??_);_(@_)">
                  <c:v>0</c:v>
                </c:pt>
                <c:pt idx="283" formatCode="_(* #,##0.00_);_(* \(#,##0.00\);_(* &quot;-&quot;??_);_(@_)">
                  <c:v>0</c:v>
                </c:pt>
                <c:pt idx="284" formatCode="_(* #,##0.00_);_(* \(#,##0.00\);_(* &quot;-&quot;??_);_(@_)">
                  <c:v>0</c:v>
                </c:pt>
                <c:pt idx="285" formatCode="_(* #,##0.00_);_(* \(#,##0.00\);_(* &quot;-&quot;??_);_(@_)">
                  <c:v>0</c:v>
                </c:pt>
                <c:pt idx="286" formatCode="_(* #,##0.00_);_(* \(#,##0.00\);_(* &quot;-&quot;??_);_(@_)">
                  <c:v>0</c:v>
                </c:pt>
                <c:pt idx="287" formatCode="_(* #,##0.00_);_(* \(#,##0.00\);_(* &quot;-&quot;??_);_(@_)">
                  <c:v>0</c:v>
                </c:pt>
                <c:pt idx="288" formatCode="_(* #,##0.00_);_(* \(#,##0.00\);_(* &quot;-&quot;??_);_(@_)">
                  <c:v>0</c:v>
                </c:pt>
                <c:pt idx="289" formatCode="_(* #,##0.00_);_(* \(#,##0.00\);_(* &quot;-&quot;??_);_(@_)">
                  <c:v>0</c:v>
                </c:pt>
                <c:pt idx="290" formatCode="_(* #,##0.00_);_(* \(#,##0.00\);_(* &quot;-&quot;??_);_(@_)">
                  <c:v>0</c:v>
                </c:pt>
                <c:pt idx="291" formatCode="_(* #,##0.00_);_(* \(#,##0.00\);_(* &quot;-&quot;??_);_(@_)">
                  <c:v>0</c:v>
                </c:pt>
                <c:pt idx="292" formatCode="_(* #,##0.00_);_(* \(#,##0.00\);_(* &quot;-&quot;??_);_(@_)">
                  <c:v>0</c:v>
                </c:pt>
                <c:pt idx="293" formatCode="_(* #,##0.00_);_(* \(#,##0.00\);_(* &quot;-&quot;??_);_(@_)">
                  <c:v>0</c:v>
                </c:pt>
                <c:pt idx="294" formatCode="_(* #,##0.00_);_(* \(#,##0.00\);_(* &quot;-&quot;??_);_(@_)">
                  <c:v>0</c:v>
                </c:pt>
                <c:pt idx="295" formatCode="_(* #,##0.00_);_(* \(#,##0.00\);_(* &quot;-&quot;??_);_(@_)">
                  <c:v>0</c:v>
                </c:pt>
                <c:pt idx="296" formatCode="_(* #,##0.00_);_(* \(#,##0.00\);_(* &quot;-&quot;??_);_(@_)">
                  <c:v>0</c:v>
                </c:pt>
                <c:pt idx="297" formatCode="_(* #,##0.00_);_(* \(#,##0.00\);_(* &quot;-&quot;??_);_(@_)">
                  <c:v>0</c:v>
                </c:pt>
                <c:pt idx="298" formatCode="_(* #,##0.00_);_(* \(#,##0.00\);_(* &quot;-&quot;??_);_(@_)">
                  <c:v>0</c:v>
                </c:pt>
                <c:pt idx="299" formatCode="_(* #,##0.00_);_(* \(#,##0.00\);_(* &quot;-&quot;??_);_(@_)">
                  <c:v>0</c:v>
                </c:pt>
                <c:pt idx="300" formatCode="_(* #,##0.00_);_(* \(#,##0.00\);_(* &quot;-&quot;??_);_(@_)">
                  <c:v>0</c:v>
                </c:pt>
                <c:pt idx="301" formatCode="_(* #,##0.00_);_(* \(#,##0.00\);_(* &quot;-&quot;??_);_(@_)">
                  <c:v>0</c:v>
                </c:pt>
                <c:pt idx="302" formatCode="_(* #,##0.00_);_(* \(#,##0.00\);_(* &quot;-&quot;??_);_(@_)">
                  <c:v>0</c:v>
                </c:pt>
                <c:pt idx="303" formatCode="_(* #,##0.00_);_(* \(#,##0.00\);_(* &quot;-&quot;??_);_(@_)">
                  <c:v>0</c:v>
                </c:pt>
                <c:pt idx="304" formatCode="_(* #,##0.00_);_(* \(#,##0.00\);_(* &quot;-&quot;??_);_(@_)">
                  <c:v>0</c:v>
                </c:pt>
                <c:pt idx="305" formatCode="_(* #,##0.00_);_(* \(#,##0.00\);_(* &quot;-&quot;??_);_(@_)">
                  <c:v>0</c:v>
                </c:pt>
                <c:pt idx="306" formatCode="_(* #,##0.00_);_(* \(#,##0.00\);_(* &quot;-&quot;??_);_(@_)">
                  <c:v>0</c:v>
                </c:pt>
                <c:pt idx="307" formatCode="_(* #,##0.00_);_(* \(#,##0.00\);_(* &quot;-&quot;??_);_(@_)">
                  <c:v>0</c:v>
                </c:pt>
                <c:pt idx="308" formatCode="_(* #,##0.00_);_(* \(#,##0.00\);_(* &quot;-&quot;??_);_(@_)">
                  <c:v>0</c:v>
                </c:pt>
                <c:pt idx="309" formatCode="_(* #,##0.00_);_(* \(#,##0.00\);_(* &quot;-&quot;??_);_(@_)">
                  <c:v>0</c:v>
                </c:pt>
                <c:pt idx="310" formatCode="_(* #,##0.00_);_(* \(#,##0.00\);_(* &quot;-&quot;??_);_(@_)">
                  <c:v>0</c:v>
                </c:pt>
                <c:pt idx="311" formatCode="_(* #,##0.00_);_(* \(#,##0.00\);_(* &quot;-&quot;??_);_(@_)">
                  <c:v>0</c:v>
                </c:pt>
                <c:pt idx="312" formatCode="_(* #,##0.00_);_(* \(#,##0.00\);_(* &quot;-&quot;??_);_(@_)">
                  <c:v>0</c:v>
                </c:pt>
                <c:pt idx="313" formatCode="_(* #,##0.00_);_(* \(#,##0.00\);_(* &quot;-&quot;??_);_(@_)">
                  <c:v>0</c:v>
                </c:pt>
                <c:pt idx="314" formatCode="_(* #,##0.00_);_(* \(#,##0.00\);_(* &quot;-&quot;??_);_(@_)">
                  <c:v>0</c:v>
                </c:pt>
                <c:pt idx="315" formatCode="_(* #,##0.00_);_(* \(#,##0.00\);_(* &quot;-&quot;??_);_(@_)">
                  <c:v>0</c:v>
                </c:pt>
                <c:pt idx="316" formatCode="_(* #,##0.00_);_(* \(#,##0.00\);_(* &quot;-&quot;??_);_(@_)">
                  <c:v>0</c:v>
                </c:pt>
                <c:pt idx="317" formatCode="_(* #,##0.00_);_(* \(#,##0.00\);_(* &quot;-&quot;??_);_(@_)">
                  <c:v>0</c:v>
                </c:pt>
                <c:pt idx="318" formatCode="_(* #,##0.00_);_(* \(#,##0.00\);_(* &quot;-&quot;??_);_(@_)">
                  <c:v>0</c:v>
                </c:pt>
                <c:pt idx="319" formatCode="_(* #,##0.00_);_(* \(#,##0.00\);_(* &quot;-&quot;??_);_(@_)">
                  <c:v>0</c:v>
                </c:pt>
                <c:pt idx="320" formatCode="_(* #,##0.00_);_(* \(#,##0.00\);_(* &quot;-&quot;??_);_(@_)">
                  <c:v>0</c:v>
                </c:pt>
                <c:pt idx="321" formatCode="_(* #,##0.00_);_(* \(#,##0.00\);_(* &quot;-&quot;??_);_(@_)">
                  <c:v>0</c:v>
                </c:pt>
                <c:pt idx="322" formatCode="_(* #,##0.00_);_(* \(#,##0.00\);_(* &quot;-&quot;??_);_(@_)">
                  <c:v>0</c:v>
                </c:pt>
                <c:pt idx="323" formatCode="_(* #,##0.00_);_(* \(#,##0.00\);_(* &quot;-&quot;??_);_(@_)">
                  <c:v>0</c:v>
                </c:pt>
                <c:pt idx="324" formatCode="_(* #,##0.00_);_(* \(#,##0.00\);_(* &quot;-&quot;??_);_(@_)">
                  <c:v>0</c:v>
                </c:pt>
                <c:pt idx="325" formatCode="_(* #,##0.00_);_(* \(#,##0.00\);_(* &quot;-&quot;??_);_(@_)">
                  <c:v>0</c:v>
                </c:pt>
                <c:pt idx="326" formatCode="_(* #,##0.00_);_(* \(#,##0.00\);_(* &quot;-&quot;??_);_(@_)">
                  <c:v>0</c:v>
                </c:pt>
                <c:pt idx="327" formatCode="_(* #,##0.00_);_(* \(#,##0.00\);_(* &quot;-&quot;??_);_(@_)">
                  <c:v>0</c:v>
                </c:pt>
                <c:pt idx="328" formatCode="_(* #,##0.00_);_(* \(#,##0.00\);_(* &quot;-&quot;??_);_(@_)">
                  <c:v>0</c:v>
                </c:pt>
                <c:pt idx="329" formatCode="_(* #,##0.00_);_(* \(#,##0.00\);_(* &quot;-&quot;??_);_(@_)">
                  <c:v>0</c:v>
                </c:pt>
                <c:pt idx="330" formatCode="_(* #,##0.00_);_(* \(#,##0.00\);_(* &quot;-&quot;??_);_(@_)">
                  <c:v>0</c:v>
                </c:pt>
                <c:pt idx="331" formatCode="_(* #,##0.00_);_(* \(#,##0.00\);_(* &quot;-&quot;??_);_(@_)">
                  <c:v>0</c:v>
                </c:pt>
                <c:pt idx="332" formatCode="_(* #,##0.00_);_(* \(#,##0.00\);_(* &quot;-&quot;??_);_(@_)">
                  <c:v>0</c:v>
                </c:pt>
                <c:pt idx="333" formatCode="_(* #,##0.00_);_(* \(#,##0.00\);_(* &quot;-&quot;??_);_(@_)">
                  <c:v>0</c:v>
                </c:pt>
                <c:pt idx="334" formatCode="_(* #,##0.00_);_(* \(#,##0.00\);_(* &quot;-&quot;??_);_(@_)">
                  <c:v>0</c:v>
                </c:pt>
                <c:pt idx="335" formatCode="_(* #,##0.00_);_(* \(#,##0.00\);_(* &quot;-&quot;??_);_(@_)">
                  <c:v>0</c:v>
                </c:pt>
                <c:pt idx="336" formatCode="_(* #,##0.00_);_(* \(#,##0.00\);_(* &quot;-&quot;??_);_(@_)">
                  <c:v>0</c:v>
                </c:pt>
                <c:pt idx="337" formatCode="_(* #,##0.00_);_(* \(#,##0.00\);_(* &quot;-&quot;??_);_(@_)">
                  <c:v>0</c:v>
                </c:pt>
                <c:pt idx="338" formatCode="_(* #,##0.00_);_(* \(#,##0.00\);_(* &quot;-&quot;??_);_(@_)">
                  <c:v>0</c:v>
                </c:pt>
                <c:pt idx="339" formatCode="_(* #,##0.00_);_(* \(#,##0.00\);_(* &quot;-&quot;??_);_(@_)">
                  <c:v>0</c:v>
                </c:pt>
                <c:pt idx="340" formatCode="_(* #,##0.00_);_(* \(#,##0.00\);_(* &quot;-&quot;??_);_(@_)">
                  <c:v>0</c:v>
                </c:pt>
                <c:pt idx="341" formatCode="_(* #,##0.00_);_(* \(#,##0.00\);_(* &quot;-&quot;??_);_(@_)">
                  <c:v>0</c:v>
                </c:pt>
                <c:pt idx="342" formatCode="_(* #,##0.00_);_(* \(#,##0.00\);_(* &quot;-&quot;??_);_(@_)">
                  <c:v>0</c:v>
                </c:pt>
                <c:pt idx="343" formatCode="_(* #,##0.00_);_(* \(#,##0.00\);_(* &quot;-&quot;??_);_(@_)">
                  <c:v>0</c:v>
                </c:pt>
                <c:pt idx="344" formatCode="_(* #,##0.00_);_(* \(#,##0.00\);_(* &quot;-&quot;??_);_(@_)">
                  <c:v>0</c:v>
                </c:pt>
                <c:pt idx="345" formatCode="_(* #,##0.00_);_(* \(#,##0.00\);_(* &quot;-&quot;??_);_(@_)">
                  <c:v>0</c:v>
                </c:pt>
                <c:pt idx="346" formatCode="_(* #,##0.00_);_(* \(#,##0.00\);_(* &quot;-&quot;??_);_(@_)">
                  <c:v>0</c:v>
                </c:pt>
                <c:pt idx="347" formatCode="_(* #,##0.00_);_(* \(#,##0.00\);_(* &quot;-&quot;??_);_(@_)">
                  <c:v>0</c:v>
                </c:pt>
                <c:pt idx="348" formatCode="_(* #,##0.00_);_(* \(#,##0.00\);_(* &quot;-&quot;??_);_(@_)">
                  <c:v>0</c:v>
                </c:pt>
                <c:pt idx="349" formatCode="_(* #,##0.00_);_(* \(#,##0.00\);_(* &quot;-&quot;??_);_(@_)">
                  <c:v>0</c:v>
                </c:pt>
                <c:pt idx="350" formatCode="_(* #,##0.00_);_(* \(#,##0.00\);_(* &quot;-&quot;??_);_(@_)">
                  <c:v>0</c:v>
                </c:pt>
                <c:pt idx="351" formatCode="_(* #,##0.00_);_(* \(#,##0.00\);_(* &quot;-&quot;??_);_(@_)">
                  <c:v>0</c:v>
                </c:pt>
                <c:pt idx="352" formatCode="_(* #,##0.00_);_(* \(#,##0.00\);_(* &quot;-&quot;??_);_(@_)">
                  <c:v>0</c:v>
                </c:pt>
                <c:pt idx="353" formatCode="_(* #,##0.00_);_(* \(#,##0.00\);_(* &quot;-&quot;??_);_(@_)">
                  <c:v>0</c:v>
                </c:pt>
                <c:pt idx="354" formatCode="_(* #,##0.00_);_(* \(#,##0.00\);_(* &quot;-&quot;??_);_(@_)">
                  <c:v>0</c:v>
                </c:pt>
                <c:pt idx="355" formatCode="_(* #,##0.00_);_(* \(#,##0.00\);_(* &quot;-&quot;??_);_(@_)">
                  <c:v>0</c:v>
                </c:pt>
                <c:pt idx="356" formatCode="_(* #,##0.00_);_(* \(#,##0.00\);_(* &quot;-&quot;??_);_(@_)">
                  <c:v>0</c:v>
                </c:pt>
                <c:pt idx="357" formatCode="_(* #,##0.00_);_(* \(#,##0.00\);_(* &quot;-&quot;??_);_(@_)">
                  <c:v>0</c:v>
                </c:pt>
                <c:pt idx="358" formatCode="_(* #,##0.00_);_(* \(#,##0.00\);_(* &quot;-&quot;??_);_(@_)">
                  <c:v>0</c:v>
                </c:pt>
                <c:pt idx="359" formatCode="_(* #,##0.00_);_(* \(#,##0.00\);_(* &quot;-&quot;??_);_(@_)">
                  <c:v>0</c:v>
                </c:pt>
                <c:pt idx="360" formatCode="_(* #,##0.00_);_(* \(#,##0.00\);_(* &quot;-&quot;??_);_(@_)">
                  <c:v>0</c:v>
                </c:pt>
                <c:pt idx="361" formatCode="_(* #,##0.00_);_(* \(#,##0.00\);_(* &quot;-&quot;??_);_(@_)">
                  <c:v>0</c:v>
                </c:pt>
                <c:pt idx="362" formatCode="_(* #,##0.00_);_(* \(#,##0.00\);_(* &quot;-&quot;??_);_(@_)">
                  <c:v>0</c:v>
                </c:pt>
                <c:pt idx="363" formatCode="_(* #,##0.00_);_(* \(#,##0.00\);_(* &quot;-&quot;??_);_(@_)">
                  <c:v>0</c:v>
                </c:pt>
                <c:pt idx="364" formatCode="_(* #,##0.00_);_(* \(#,##0.00\);_(* &quot;-&quot;??_);_(@_)">
                  <c:v>0</c:v>
                </c:pt>
                <c:pt idx="365" formatCode="_(* #,##0.00_);_(* \(#,##0.00\);_(* &quot;-&quot;??_);_(@_)">
                  <c:v>0</c:v>
                </c:pt>
                <c:pt idx="366" formatCode="_(* #,##0.00_);_(* \(#,##0.00\);_(* &quot;-&quot;??_);_(@_)">
                  <c:v>0</c:v>
                </c:pt>
                <c:pt idx="367" formatCode="_(* #,##0.00_);_(* \(#,##0.00\);_(* &quot;-&quot;??_);_(@_)">
                  <c:v>0</c:v>
                </c:pt>
                <c:pt idx="368" formatCode="_(* #,##0.00_);_(* \(#,##0.00\);_(* &quot;-&quot;??_);_(@_)">
                  <c:v>0</c:v>
                </c:pt>
                <c:pt idx="369" formatCode="_(* #,##0.00_);_(* \(#,##0.00\);_(* &quot;-&quot;??_);_(@_)">
                  <c:v>0</c:v>
                </c:pt>
                <c:pt idx="370" formatCode="_(* #,##0.00_);_(* \(#,##0.00\);_(* &quot;-&quot;??_);_(@_)">
                  <c:v>0</c:v>
                </c:pt>
                <c:pt idx="371" formatCode="_(* #,##0.00_);_(* \(#,##0.00\);_(* &quot;-&quot;??_);_(@_)">
                  <c:v>0</c:v>
                </c:pt>
                <c:pt idx="372" formatCode="_(* #,##0.00_);_(* \(#,##0.00\);_(* &quot;-&quot;??_);_(@_)">
                  <c:v>0</c:v>
                </c:pt>
                <c:pt idx="373" formatCode="_(* #,##0.00_);_(* \(#,##0.00\);_(* &quot;-&quot;??_);_(@_)">
                  <c:v>0</c:v>
                </c:pt>
                <c:pt idx="374" formatCode="_(* #,##0.00_);_(* \(#,##0.00\);_(* &quot;-&quot;??_);_(@_)">
                  <c:v>0</c:v>
                </c:pt>
                <c:pt idx="375" formatCode="_(* #,##0.00_);_(* \(#,##0.00\);_(* &quot;-&quot;??_);_(@_)">
                  <c:v>0</c:v>
                </c:pt>
                <c:pt idx="376" formatCode="_(* #,##0.00_);_(* \(#,##0.00\);_(* &quot;-&quot;??_);_(@_)">
                  <c:v>0</c:v>
                </c:pt>
                <c:pt idx="377" formatCode="_(* #,##0.00_);_(* \(#,##0.00\);_(* &quot;-&quot;??_);_(@_)">
                  <c:v>0</c:v>
                </c:pt>
                <c:pt idx="378" formatCode="_(* #,##0.00_);_(* \(#,##0.00\);_(* &quot;-&quot;??_);_(@_)">
                  <c:v>0</c:v>
                </c:pt>
                <c:pt idx="379" formatCode="_(* #,##0.00_);_(* \(#,##0.00\);_(* &quot;-&quot;??_);_(@_)">
                  <c:v>0</c:v>
                </c:pt>
                <c:pt idx="380" formatCode="_(* #,##0.00_);_(* \(#,##0.00\);_(* &quot;-&quot;??_);_(@_)">
                  <c:v>0</c:v>
                </c:pt>
                <c:pt idx="381" formatCode="_(* #,##0.00_);_(* \(#,##0.00\);_(* &quot;-&quot;??_);_(@_)">
                  <c:v>0</c:v>
                </c:pt>
                <c:pt idx="382" formatCode="_(* #,##0.00_);_(* \(#,##0.00\);_(* &quot;-&quot;??_);_(@_)">
                  <c:v>0</c:v>
                </c:pt>
                <c:pt idx="383" formatCode="_(* #,##0.00_);_(* \(#,##0.00\);_(* &quot;-&quot;??_);_(@_)">
                  <c:v>0</c:v>
                </c:pt>
                <c:pt idx="384" formatCode="_(* #,##0.00_);_(* \(#,##0.00\);_(* &quot;-&quot;??_);_(@_)">
                  <c:v>0</c:v>
                </c:pt>
                <c:pt idx="385" formatCode="_(* #,##0.00_);_(* \(#,##0.00\);_(* &quot;-&quot;??_);_(@_)">
                  <c:v>0</c:v>
                </c:pt>
                <c:pt idx="386" formatCode="_(* #,##0.00_);_(* \(#,##0.00\);_(* &quot;-&quot;??_);_(@_)">
                  <c:v>0</c:v>
                </c:pt>
                <c:pt idx="387" formatCode="_(* #,##0.00_);_(* \(#,##0.00\);_(* &quot;-&quot;??_);_(@_)">
                  <c:v>0</c:v>
                </c:pt>
                <c:pt idx="388" formatCode="_(* #,##0.00_);_(* \(#,##0.00\);_(* &quot;-&quot;??_);_(@_)">
                  <c:v>0</c:v>
                </c:pt>
                <c:pt idx="389" formatCode="_(* #,##0.00_);_(* \(#,##0.00\);_(* &quot;-&quot;??_);_(@_)">
                  <c:v>0</c:v>
                </c:pt>
                <c:pt idx="390" formatCode="_(* #,##0.00_);_(* \(#,##0.00\);_(* &quot;-&quot;??_);_(@_)">
                  <c:v>0</c:v>
                </c:pt>
                <c:pt idx="391" formatCode="_(* #,##0.00_);_(* \(#,##0.00\);_(* &quot;-&quot;??_);_(@_)">
                  <c:v>0</c:v>
                </c:pt>
                <c:pt idx="392" formatCode="_(* #,##0.00_);_(* \(#,##0.00\);_(* &quot;-&quot;??_);_(@_)">
                  <c:v>0</c:v>
                </c:pt>
                <c:pt idx="393" formatCode="_(* #,##0.00_);_(* \(#,##0.00\);_(* &quot;-&quot;??_);_(@_)">
                  <c:v>0</c:v>
                </c:pt>
                <c:pt idx="394" formatCode="_(* #,##0.00_);_(* \(#,##0.00\);_(* &quot;-&quot;??_);_(@_)">
                  <c:v>0</c:v>
                </c:pt>
                <c:pt idx="395" formatCode="_(* #,##0.00_);_(* \(#,##0.00\);_(* &quot;-&quot;??_);_(@_)">
                  <c:v>0</c:v>
                </c:pt>
                <c:pt idx="396" formatCode="_(* #,##0.00_);_(* \(#,##0.00\);_(* &quot;-&quot;??_);_(@_)">
                  <c:v>0</c:v>
                </c:pt>
                <c:pt idx="397" formatCode="_(* #,##0.00_);_(* \(#,##0.00\);_(* &quot;-&quot;??_);_(@_)">
                  <c:v>0</c:v>
                </c:pt>
                <c:pt idx="398" formatCode="_(* #,##0.00_);_(* \(#,##0.00\);_(* &quot;-&quot;??_);_(@_)">
                  <c:v>0</c:v>
                </c:pt>
                <c:pt idx="399" formatCode="_(* #,##0.00_);_(* \(#,##0.00\);_(* &quot;-&quot;??_);_(@_)">
                  <c:v>0</c:v>
                </c:pt>
                <c:pt idx="400" formatCode="_(* #,##0.00_);_(* \(#,##0.00\);_(* &quot;-&quot;??_);_(@_)">
                  <c:v>0</c:v>
                </c:pt>
                <c:pt idx="401" formatCode="_(* #,##0.00_);_(* \(#,##0.00\);_(* &quot;-&quot;??_);_(@_)">
                  <c:v>0</c:v>
                </c:pt>
                <c:pt idx="402" formatCode="_(* #,##0.00_);_(* \(#,##0.00\);_(* &quot;-&quot;??_);_(@_)">
                  <c:v>0</c:v>
                </c:pt>
                <c:pt idx="403" formatCode="_(* #,##0.00_);_(* \(#,##0.00\);_(* &quot;-&quot;??_);_(@_)">
                  <c:v>0</c:v>
                </c:pt>
                <c:pt idx="404" formatCode="_(* #,##0.00_);_(* \(#,##0.00\);_(* &quot;-&quot;??_);_(@_)">
                  <c:v>0</c:v>
                </c:pt>
                <c:pt idx="405" formatCode="_(* #,##0.00_);_(* \(#,##0.00\);_(* &quot;-&quot;??_);_(@_)">
                  <c:v>0</c:v>
                </c:pt>
                <c:pt idx="406" formatCode="_(* #,##0.00_);_(* \(#,##0.00\);_(* &quot;-&quot;??_);_(@_)">
                  <c:v>0</c:v>
                </c:pt>
                <c:pt idx="407" formatCode="_(* #,##0.00_);_(* \(#,##0.00\);_(* &quot;-&quot;??_);_(@_)">
                  <c:v>0</c:v>
                </c:pt>
                <c:pt idx="408" formatCode="_(* #,##0.00_);_(* \(#,##0.00\);_(* &quot;-&quot;??_);_(@_)">
                  <c:v>0</c:v>
                </c:pt>
                <c:pt idx="409" formatCode="_(* #,##0.00_);_(* \(#,##0.00\);_(* &quot;-&quot;??_);_(@_)">
                  <c:v>0</c:v>
                </c:pt>
                <c:pt idx="410" formatCode="_(* #,##0.00_);_(* \(#,##0.00\);_(* &quot;-&quot;??_);_(@_)">
                  <c:v>0</c:v>
                </c:pt>
                <c:pt idx="411" formatCode="_(* #,##0.00_);_(* \(#,##0.00\);_(* &quot;-&quot;??_);_(@_)">
                  <c:v>0</c:v>
                </c:pt>
                <c:pt idx="412" formatCode="_(* #,##0.00_);_(* \(#,##0.00\);_(* &quot;-&quot;??_);_(@_)">
                  <c:v>0</c:v>
                </c:pt>
                <c:pt idx="413" formatCode="_(* #,##0.00_);_(* \(#,##0.00\);_(* &quot;-&quot;??_);_(@_)">
                  <c:v>0</c:v>
                </c:pt>
                <c:pt idx="414" formatCode="_(* #,##0.00_);_(* \(#,##0.00\);_(* &quot;-&quot;??_);_(@_)">
                  <c:v>0</c:v>
                </c:pt>
                <c:pt idx="415" formatCode="_(* #,##0.00_);_(* \(#,##0.00\);_(* &quot;-&quot;??_);_(@_)">
                  <c:v>0</c:v>
                </c:pt>
                <c:pt idx="416" formatCode="_(* #,##0.00_);_(* \(#,##0.00\);_(* &quot;-&quot;??_);_(@_)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0-42B0-9C4C-F2B929C03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716960"/>
        <c:axId val="781751824"/>
      </c:lineChart>
      <c:dateAx>
        <c:axId val="7377169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51824"/>
        <c:crosses val="autoZero"/>
        <c:auto val="1"/>
        <c:lblOffset val="100"/>
        <c:baseTimeUnit val="days"/>
      </c:dateAx>
      <c:valAx>
        <c:axId val="78175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1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Stocks'!$D$1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Stocks'!$D$2:$D$418</c:f>
              <c:numCache>
                <c:formatCode>General</c:formatCode>
                <c:ptCount val="417"/>
                <c:pt idx="0">
                  <c:v>93.9</c:v>
                </c:pt>
                <c:pt idx="1">
                  <c:v>93.89</c:v>
                </c:pt>
                <c:pt idx="2">
                  <c:v>93.7</c:v>
                </c:pt>
                <c:pt idx="3">
                  <c:v>93.65</c:v>
                </c:pt>
                <c:pt idx="4">
                  <c:v>93.7</c:v>
                </c:pt>
                <c:pt idx="5">
                  <c:v>94</c:v>
                </c:pt>
                <c:pt idx="6">
                  <c:v>93.99</c:v>
                </c:pt>
                <c:pt idx="7">
                  <c:v>94.49</c:v>
                </c:pt>
                <c:pt idx="8">
                  <c:v>95.9</c:v>
                </c:pt>
                <c:pt idx="9">
                  <c:v>97</c:v>
                </c:pt>
                <c:pt idx="10">
                  <c:v>97</c:v>
                </c:pt>
                <c:pt idx="11">
                  <c:v>96.85</c:v>
                </c:pt>
                <c:pt idx="12">
                  <c:v>96.5</c:v>
                </c:pt>
                <c:pt idx="13">
                  <c:v>97</c:v>
                </c:pt>
                <c:pt idx="14">
                  <c:v>97.2</c:v>
                </c:pt>
                <c:pt idx="15">
                  <c:v>98.45</c:v>
                </c:pt>
                <c:pt idx="16">
                  <c:v>99.5</c:v>
                </c:pt>
                <c:pt idx="17">
                  <c:v>98.9</c:v>
                </c:pt>
                <c:pt idx="18">
                  <c:v>98.15</c:v>
                </c:pt>
                <c:pt idx="19">
                  <c:v>97.8</c:v>
                </c:pt>
                <c:pt idx="20">
                  <c:v>97.8</c:v>
                </c:pt>
                <c:pt idx="21">
                  <c:v>97.5</c:v>
                </c:pt>
                <c:pt idx="22">
                  <c:v>97.5</c:v>
                </c:pt>
                <c:pt idx="23">
                  <c:v>96.98</c:v>
                </c:pt>
                <c:pt idx="24">
                  <c:v>96.95</c:v>
                </c:pt>
                <c:pt idx="25">
                  <c:v>96.95</c:v>
                </c:pt>
                <c:pt idx="26">
                  <c:v>96.99</c:v>
                </c:pt>
                <c:pt idx="27">
                  <c:v>97.5</c:v>
                </c:pt>
                <c:pt idx="28">
                  <c:v>97.48</c:v>
                </c:pt>
                <c:pt idx="29">
                  <c:v>97.4</c:v>
                </c:pt>
                <c:pt idx="30">
                  <c:v>97.4</c:v>
                </c:pt>
                <c:pt idx="31">
                  <c:v>98</c:v>
                </c:pt>
                <c:pt idx="32">
                  <c:v>97.7</c:v>
                </c:pt>
                <c:pt idx="33">
                  <c:v>98.5</c:v>
                </c:pt>
                <c:pt idx="34">
                  <c:v>98.99</c:v>
                </c:pt>
                <c:pt idx="35">
                  <c:v>98.9</c:v>
                </c:pt>
                <c:pt idx="36">
                  <c:v>99.9</c:v>
                </c:pt>
                <c:pt idx="37">
                  <c:v>99.5</c:v>
                </c:pt>
                <c:pt idx="38">
                  <c:v>99.4</c:v>
                </c:pt>
                <c:pt idx="39">
                  <c:v>99.35</c:v>
                </c:pt>
                <c:pt idx="40">
                  <c:v>99.9</c:v>
                </c:pt>
                <c:pt idx="41">
                  <c:v>100</c:v>
                </c:pt>
                <c:pt idx="42">
                  <c:v>101.8</c:v>
                </c:pt>
                <c:pt idx="43">
                  <c:v>103.5</c:v>
                </c:pt>
                <c:pt idx="44">
                  <c:v>103.5</c:v>
                </c:pt>
                <c:pt idx="45">
                  <c:v>103.49</c:v>
                </c:pt>
                <c:pt idx="46">
                  <c:v>102.7</c:v>
                </c:pt>
                <c:pt idx="47">
                  <c:v>100.99</c:v>
                </c:pt>
                <c:pt idx="48">
                  <c:v>100.99</c:v>
                </c:pt>
                <c:pt idx="49">
                  <c:v>102.8</c:v>
                </c:pt>
                <c:pt idx="50">
                  <c:v>102</c:v>
                </c:pt>
                <c:pt idx="51">
                  <c:v>101.5</c:v>
                </c:pt>
                <c:pt idx="52">
                  <c:v>100.6</c:v>
                </c:pt>
                <c:pt idx="53">
                  <c:v>100.6</c:v>
                </c:pt>
                <c:pt idx="54">
                  <c:v>100</c:v>
                </c:pt>
                <c:pt idx="55">
                  <c:v>99.72</c:v>
                </c:pt>
                <c:pt idx="56">
                  <c:v>99.7</c:v>
                </c:pt>
                <c:pt idx="57">
                  <c:v>99.6</c:v>
                </c:pt>
                <c:pt idx="58">
                  <c:v>98.9</c:v>
                </c:pt>
                <c:pt idx="59">
                  <c:v>98.9</c:v>
                </c:pt>
                <c:pt idx="60">
                  <c:v>99</c:v>
                </c:pt>
                <c:pt idx="61">
                  <c:v>99</c:v>
                </c:pt>
                <c:pt idx="62">
                  <c:v>98.98</c:v>
                </c:pt>
                <c:pt idx="63">
                  <c:v>98.99</c:v>
                </c:pt>
                <c:pt idx="64">
                  <c:v>98.85</c:v>
                </c:pt>
                <c:pt idx="65">
                  <c:v>98.6</c:v>
                </c:pt>
                <c:pt idx="66">
                  <c:v>98.8</c:v>
                </c:pt>
                <c:pt idx="67">
                  <c:v>98.99</c:v>
                </c:pt>
                <c:pt idx="68">
                  <c:v>99.2</c:v>
                </c:pt>
                <c:pt idx="69">
                  <c:v>100</c:v>
                </c:pt>
                <c:pt idx="70">
                  <c:v>100</c:v>
                </c:pt>
                <c:pt idx="71">
                  <c:v>102</c:v>
                </c:pt>
                <c:pt idx="72">
                  <c:v>101.99</c:v>
                </c:pt>
                <c:pt idx="73">
                  <c:v>102</c:v>
                </c:pt>
                <c:pt idx="74">
                  <c:v>102</c:v>
                </c:pt>
                <c:pt idx="75">
                  <c:v>103</c:v>
                </c:pt>
                <c:pt idx="76">
                  <c:v>103</c:v>
                </c:pt>
                <c:pt idx="77">
                  <c:v>103</c:v>
                </c:pt>
                <c:pt idx="78">
                  <c:v>102.98</c:v>
                </c:pt>
                <c:pt idx="79">
                  <c:v>103.48</c:v>
                </c:pt>
                <c:pt idx="80">
                  <c:v>103.48</c:v>
                </c:pt>
                <c:pt idx="81">
                  <c:v>103.5</c:v>
                </c:pt>
                <c:pt idx="82">
                  <c:v>103.5</c:v>
                </c:pt>
                <c:pt idx="83">
                  <c:v>103.5</c:v>
                </c:pt>
                <c:pt idx="84">
                  <c:v>103.5</c:v>
                </c:pt>
                <c:pt idx="85">
                  <c:v>103.5</c:v>
                </c:pt>
                <c:pt idx="86">
                  <c:v>103.45</c:v>
                </c:pt>
                <c:pt idx="87">
                  <c:v>97.8</c:v>
                </c:pt>
                <c:pt idx="88">
                  <c:v>97.3</c:v>
                </c:pt>
                <c:pt idx="89">
                  <c:v>97.1</c:v>
                </c:pt>
                <c:pt idx="90">
                  <c:v>97</c:v>
                </c:pt>
                <c:pt idx="91">
                  <c:v>97.1</c:v>
                </c:pt>
                <c:pt idx="92">
                  <c:v>97.1</c:v>
                </c:pt>
                <c:pt idx="93">
                  <c:v>97.01</c:v>
                </c:pt>
                <c:pt idx="94">
                  <c:v>97</c:v>
                </c:pt>
                <c:pt idx="95">
                  <c:v>97</c:v>
                </c:pt>
                <c:pt idx="96">
                  <c:v>97</c:v>
                </c:pt>
                <c:pt idx="97">
                  <c:v>97</c:v>
                </c:pt>
                <c:pt idx="98">
                  <c:v>96.97</c:v>
                </c:pt>
                <c:pt idx="99">
                  <c:v>96.7</c:v>
                </c:pt>
                <c:pt idx="100">
                  <c:v>96.5</c:v>
                </c:pt>
                <c:pt idx="101">
                  <c:v>95.25</c:v>
                </c:pt>
                <c:pt idx="102">
                  <c:v>95</c:v>
                </c:pt>
                <c:pt idx="103">
                  <c:v>95</c:v>
                </c:pt>
                <c:pt idx="104">
                  <c:v>95</c:v>
                </c:pt>
                <c:pt idx="105">
                  <c:v>94.2</c:v>
                </c:pt>
                <c:pt idx="106">
                  <c:v>94.25</c:v>
                </c:pt>
                <c:pt idx="107">
                  <c:v>94.1</c:v>
                </c:pt>
                <c:pt idx="108">
                  <c:v>94.1</c:v>
                </c:pt>
                <c:pt idx="109">
                  <c:v>93.39</c:v>
                </c:pt>
                <c:pt idx="110">
                  <c:v>93.3</c:v>
                </c:pt>
                <c:pt idx="111">
                  <c:v>92</c:v>
                </c:pt>
                <c:pt idx="112">
                  <c:v>90.98</c:v>
                </c:pt>
                <c:pt idx="113">
                  <c:v>90.6</c:v>
                </c:pt>
                <c:pt idx="114">
                  <c:v>93</c:v>
                </c:pt>
                <c:pt idx="115">
                  <c:v>92.99</c:v>
                </c:pt>
                <c:pt idx="116">
                  <c:v>92.79</c:v>
                </c:pt>
                <c:pt idx="117">
                  <c:v>94.28</c:v>
                </c:pt>
                <c:pt idx="118">
                  <c:v>94</c:v>
                </c:pt>
                <c:pt idx="119">
                  <c:v>94.15</c:v>
                </c:pt>
                <c:pt idx="120">
                  <c:v>94.15</c:v>
                </c:pt>
                <c:pt idx="121">
                  <c:v>94.15</c:v>
                </c:pt>
                <c:pt idx="122">
                  <c:v>94.15</c:v>
                </c:pt>
                <c:pt idx="123">
                  <c:v>94</c:v>
                </c:pt>
                <c:pt idx="124">
                  <c:v>95</c:v>
                </c:pt>
                <c:pt idx="125">
                  <c:v>94.99</c:v>
                </c:pt>
                <c:pt idx="126">
                  <c:v>94.2</c:v>
                </c:pt>
                <c:pt idx="127">
                  <c:v>94</c:v>
                </c:pt>
                <c:pt idx="128">
                  <c:v>95</c:v>
                </c:pt>
                <c:pt idx="129">
                  <c:v>94</c:v>
                </c:pt>
                <c:pt idx="130">
                  <c:v>95.49</c:v>
                </c:pt>
                <c:pt idx="131">
                  <c:v>95</c:v>
                </c:pt>
                <c:pt idx="132">
                  <c:v>94.98</c:v>
                </c:pt>
                <c:pt idx="133">
                  <c:v>94.98</c:v>
                </c:pt>
                <c:pt idx="134">
                  <c:v>94.5</c:v>
                </c:pt>
                <c:pt idx="135">
                  <c:v>94.6</c:v>
                </c:pt>
                <c:pt idx="136">
                  <c:v>94.5</c:v>
                </c:pt>
                <c:pt idx="137">
                  <c:v>94.8</c:v>
                </c:pt>
                <c:pt idx="138">
                  <c:v>94.3</c:v>
                </c:pt>
                <c:pt idx="139">
                  <c:v>94.3</c:v>
                </c:pt>
                <c:pt idx="140">
                  <c:v>94</c:v>
                </c:pt>
                <c:pt idx="141">
                  <c:v>94.3</c:v>
                </c:pt>
                <c:pt idx="142">
                  <c:v>94.25</c:v>
                </c:pt>
                <c:pt idx="143">
                  <c:v>94.3</c:v>
                </c:pt>
                <c:pt idx="144">
                  <c:v>94</c:v>
                </c:pt>
                <c:pt idx="145">
                  <c:v>93.9</c:v>
                </c:pt>
                <c:pt idx="146">
                  <c:v>93.9</c:v>
                </c:pt>
                <c:pt idx="147">
                  <c:v>93.9</c:v>
                </c:pt>
                <c:pt idx="148">
                  <c:v>93.9</c:v>
                </c:pt>
                <c:pt idx="149">
                  <c:v>93.9</c:v>
                </c:pt>
                <c:pt idx="150">
                  <c:v>93.8</c:v>
                </c:pt>
                <c:pt idx="151">
                  <c:v>93.7</c:v>
                </c:pt>
                <c:pt idx="152">
                  <c:v>93.68</c:v>
                </c:pt>
                <c:pt idx="153">
                  <c:v>93.7</c:v>
                </c:pt>
                <c:pt idx="154">
                  <c:v>93.8</c:v>
                </c:pt>
                <c:pt idx="155">
                  <c:v>93.9</c:v>
                </c:pt>
                <c:pt idx="156">
                  <c:v>93.9</c:v>
                </c:pt>
                <c:pt idx="157">
                  <c:v>94</c:v>
                </c:pt>
                <c:pt idx="158">
                  <c:v>94.3</c:v>
                </c:pt>
                <c:pt idx="159">
                  <c:v>93.9</c:v>
                </c:pt>
                <c:pt idx="160">
                  <c:v>94</c:v>
                </c:pt>
                <c:pt idx="161">
                  <c:v>94</c:v>
                </c:pt>
                <c:pt idx="162">
                  <c:v>94</c:v>
                </c:pt>
                <c:pt idx="163">
                  <c:v>94</c:v>
                </c:pt>
                <c:pt idx="164">
                  <c:v>93.99</c:v>
                </c:pt>
                <c:pt idx="165">
                  <c:v>96.65</c:v>
                </c:pt>
                <c:pt idx="166">
                  <c:v>95.5</c:v>
                </c:pt>
                <c:pt idx="167">
                  <c:v>95.5</c:v>
                </c:pt>
                <c:pt idx="168">
                  <c:v>96.5</c:v>
                </c:pt>
                <c:pt idx="169">
                  <c:v>96</c:v>
                </c:pt>
                <c:pt idx="170">
                  <c:v>97.9</c:v>
                </c:pt>
                <c:pt idx="171">
                  <c:v>97.8</c:v>
                </c:pt>
                <c:pt idx="172">
                  <c:v>97.75</c:v>
                </c:pt>
                <c:pt idx="173">
                  <c:v>98.89</c:v>
                </c:pt>
                <c:pt idx="174">
                  <c:v>101.9</c:v>
                </c:pt>
                <c:pt idx="175">
                  <c:v>101.49</c:v>
                </c:pt>
                <c:pt idx="176">
                  <c:v>101.5</c:v>
                </c:pt>
                <c:pt idx="177">
                  <c:v>101.5</c:v>
                </c:pt>
                <c:pt idx="178">
                  <c:v>101</c:v>
                </c:pt>
                <c:pt idx="179">
                  <c:v>101.3</c:v>
                </c:pt>
                <c:pt idx="180">
                  <c:v>101.9</c:v>
                </c:pt>
                <c:pt idx="181">
                  <c:v>104</c:v>
                </c:pt>
                <c:pt idx="182">
                  <c:v>104</c:v>
                </c:pt>
                <c:pt idx="183">
                  <c:v>103.99</c:v>
                </c:pt>
                <c:pt idx="184">
                  <c:v>103.6</c:v>
                </c:pt>
                <c:pt idx="185">
                  <c:v>102.99</c:v>
                </c:pt>
                <c:pt idx="186">
                  <c:v>102.6</c:v>
                </c:pt>
                <c:pt idx="187">
                  <c:v>102.69</c:v>
                </c:pt>
                <c:pt idx="188">
                  <c:v>102.7</c:v>
                </c:pt>
                <c:pt idx="189">
                  <c:v>101.98</c:v>
                </c:pt>
                <c:pt idx="190">
                  <c:v>101.98</c:v>
                </c:pt>
                <c:pt idx="191">
                  <c:v>101.98</c:v>
                </c:pt>
                <c:pt idx="192">
                  <c:v>101.98</c:v>
                </c:pt>
                <c:pt idx="193">
                  <c:v>101.98</c:v>
                </c:pt>
                <c:pt idx="194">
                  <c:v>101.8</c:v>
                </c:pt>
                <c:pt idx="195">
                  <c:v>101.6</c:v>
                </c:pt>
                <c:pt idx="196">
                  <c:v>101.1</c:v>
                </c:pt>
                <c:pt idx="197">
                  <c:v>101.6</c:v>
                </c:pt>
                <c:pt idx="198">
                  <c:v>102.8</c:v>
                </c:pt>
                <c:pt idx="199">
                  <c:v>103.8</c:v>
                </c:pt>
                <c:pt idx="200">
                  <c:v>103.7</c:v>
                </c:pt>
                <c:pt idx="201">
                  <c:v>103.75</c:v>
                </c:pt>
                <c:pt idx="202">
                  <c:v>103.99</c:v>
                </c:pt>
                <c:pt idx="203">
                  <c:v>104</c:v>
                </c:pt>
                <c:pt idx="204">
                  <c:v>104.2</c:v>
                </c:pt>
                <c:pt idx="205">
                  <c:v>105.48</c:v>
                </c:pt>
                <c:pt idx="206">
                  <c:v>105.4</c:v>
                </c:pt>
                <c:pt idx="207">
                  <c:v>105.6</c:v>
                </c:pt>
                <c:pt idx="208">
                  <c:v>107</c:v>
                </c:pt>
                <c:pt idx="209">
                  <c:v>107.8</c:v>
                </c:pt>
                <c:pt idx="210">
                  <c:v>109</c:v>
                </c:pt>
                <c:pt idx="211">
                  <c:v>111.3</c:v>
                </c:pt>
                <c:pt idx="212">
                  <c:v>109.9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27-4C0B-9511-6432BB35DEC0}"/>
            </c:ext>
          </c:extLst>
        </c:ser>
        <c:ser>
          <c:idx val="1"/>
          <c:order val="1"/>
          <c:tx>
            <c:strRef>
              <c:f>'Tunisia Stocks'!$E$1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Stocks'!$E$2:$E$418</c:f>
              <c:numCache>
                <c:formatCode>General</c:formatCode>
                <c:ptCount val="417"/>
                <c:pt idx="0">
                  <c:v>93.52</c:v>
                </c:pt>
                <c:pt idx="1">
                  <c:v>93.15</c:v>
                </c:pt>
                <c:pt idx="2">
                  <c:v>93.2</c:v>
                </c:pt>
                <c:pt idx="3">
                  <c:v>93.3</c:v>
                </c:pt>
                <c:pt idx="4">
                  <c:v>93.4</c:v>
                </c:pt>
                <c:pt idx="5">
                  <c:v>93.4</c:v>
                </c:pt>
                <c:pt idx="6">
                  <c:v>93.7</c:v>
                </c:pt>
                <c:pt idx="7">
                  <c:v>93.7</c:v>
                </c:pt>
                <c:pt idx="8">
                  <c:v>93.81</c:v>
                </c:pt>
                <c:pt idx="9">
                  <c:v>94.2</c:v>
                </c:pt>
                <c:pt idx="10">
                  <c:v>95.05</c:v>
                </c:pt>
                <c:pt idx="11">
                  <c:v>95.37</c:v>
                </c:pt>
                <c:pt idx="12">
                  <c:v>95.4</c:v>
                </c:pt>
                <c:pt idx="13">
                  <c:v>95.61</c:v>
                </c:pt>
                <c:pt idx="14">
                  <c:v>96.55</c:v>
                </c:pt>
                <c:pt idx="15">
                  <c:v>96.7</c:v>
                </c:pt>
                <c:pt idx="16">
                  <c:v>96.8</c:v>
                </c:pt>
                <c:pt idx="17">
                  <c:v>97.5</c:v>
                </c:pt>
                <c:pt idx="18">
                  <c:v>97</c:v>
                </c:pt>
                <c:pt idx="19">
                  <c:v>96.8</c:v>
                </c:pt>
                <c:pt idx="20">
                  <c:v>97</c:v>
                </c:pt>
                <c:pt idx="21">
                  <c:v>97</c:v>
                </c:pt>
                <c:pt idx="22">
                  <c:v>96.62</c:v>
                </c:pt>
                <c:pt idx="23">
                  <c:v>96</c:v>
                </c:pt>
                <c:pt idx="24">
                  <c:v>96.2</c:v>
                </c:pt>
                <c:pt idx="25">
                  <c:v>96.2</c:v>
                </c:pt>
                <c:pt idx="26">
                  <c:v>96.2</c:v>
                </c:pt>
                <c:pt idx="27">
                  <c:v>96.89</c:v>
                </c:pt>
                <c:pt idx="28">
                  <c:v>96.91</c:v>
                </c:pt>
                <c:pt idx="29">
                  <c:v>97</c:v>
                </c:pt>
                <c:pt idx="30">
                  <c:v>97</c:v>
                </c:pt>
                <c:pt idx="31">
                  <c:v>97</c:v>
                </c:pt>
                <c:pt idx="32">
                  <c:v>97.12</c:v>
                </c:pt>
                <c:pt idx="33">
                  <c:v>97.16</c:v>
                </c:pt>
                <c:pt idx="34">
                  <c:v>97.65</c:v>
                </c:pt>
                <c:pt idx="35">
                  <c:v>98.25</c:v>
                </c:pt>
                <c:pt idx="36">
                  <c:v>98.5</c:v>
                </c:pt>
                <c:pt idx="37">
                  <c:v>98.63</c:v>
                </c:pt>
                <c:pt idx="38">
                  <c:v>98.68</c:v>
                </c:pt>
                <c:pt idx="39">
                  <c:v>98.8</c:v>
                </c:pt>
                <c:pt idx="40">
                  <c:v>98.8</c:v>
                </c:pt>
                <c:pt idx="41">
                  <c:v>99.9</c:v>
                </c:pt>
                <c:pt idx="42">
                  <c:v>99.7</c:v>
                </c:pt>
                <c:pt idx="43">
                  <c:v>101</c:v>
                </c:pt>
                <c:pt idx="44">
                  <c:v>102.5</c:v>
                </c:pt>
                <c:pt idx="45">
                  <c:v>102.65</c:v>
                </c:pt>
                <c:pt idx="46">
                  <c:v>100</c:v>
                </c:pt>
                <c:pt idx="47">
                  <c:v>100.5</c:v>
                </c:pt>
                <c:pt idx="48">
                  <c:v>100.1</c:v>
                </c:pt>
                <c:pt idx="49">
                  <c:v>100.1</c:v>
                </c:pt>
                <c:pt idx="50">
                  <c:v>100.9</c:v>
                </c:pt>
                <c:pt idx="51">
                  <c:v>100.6</c:v>
                </c:pt>
                <c:pt idx="52">
                  <c:v>100.3</c:v>
                </c:pt>
                <c:pt idx="53">
                  <c:v>99.71</c:v>
                </c:pt>
                <c:pt idx="54">
                  <c:v>99</c:v>
                </c:pt>
                <c:pt idx="55">
                  <c:v>99</c:v>
                </c:pt>
                <c:pt idx="56">
                  <c:v>98.1</c:v>
                </c:pt>
                <c:pt idx="57">
                  <c:v>98</c:v>
                </c:pt>
                <c:pt idx="58">
                  <c:v>98.13</c:v>
                </c:pt>
                <c:pt idx="59">
                  <c:v>98.1</c:v>
                </c:pt>
                <c:pt idx="60">
                  <c:v>98.2</c:v>
                </c:pt>
                <c:pt idx="61">
                  <c:v>98</c:v>
                </c:pt>
                <c:pt idx="62">
                  <c:v>98.25</c:v>
                </c:pt>
                <c:pt idx="63">
                  <c:v>98.5</c:v>
                </c:pt>
                <c:pt idx="64">
                  <c:v>97.4</c:v>
                </c:pt>
                <c:pt idx="65">
                  <c:v>97.56</c:v>
                </c:pt>
                <c:pt idx="66">
                  <c:v>98.5</c:v>
                </c:pt>
                <c:pt idx="67">
                  <c:v>98.5</c:v>
                </c:pt>
                <c:pt idx="68">
                  <c:v>98.9</c:v>
                </c:pt>
                <c:pt idx="69">
                  <c:v>99.2</c:v>
                </c:pt>
                <c:pt idx="70">
                  <c:v>99.6</c:v>
                </c:pt>
                <c:pt idx="71">
                  <c:v>99.99</c:v>
                </c:pt>
                <c:pt idx="72">
                  <c:v>100</c:v>
                </c:pt>
                <c:pt idx="73">
                  <c:v>100.99</c:v>
                </c:pt>
                <c:pt idx="74">
                  <c:v>101.1</c:v>
                </c:pt>
                <c:pt idx="75">
                  <c:v>101.87</c:v>
                </c:pt>
                <c:pt idx="76">
                  <c:v>101.9</c:v>
                </c:pt>
                <c:pt idx="77">
                  <c:v>102</c:v>
                </c:pt>
                <c:pt idx="78">
                  <c:v>102</c:v>
                </c:pt>
                <c:pt idx="79">
                  <c:v>102</c:v>
                </c:pt>
                <c:pt idx="80">
                  <c:v>102.5</c:v>
                </c:pt>
                <c:pt idx="81">
                  <c:v>102.6</c:v>
                </c:pt>
                <c:pt idx="82">
                  <c:v>103.49</c:v>
                </c:pt>
                <c:pt idx="83">
                  <c:v>103.47</c:v>
                </c:pt>
                <c:pt idx="84">
                  <c:v>101.5</c:v>
                </c:pt>
                <c:pt idx="85">
                  <c:v>102</c:v>
                </c:pt>
                <c:pt idx="86">
                  <c:v>102.4</c:v>
                </c:pt>
                <c:pt idx="87">
                  <c:v>97</c:v>
                </c:pt>
                <c:pt idx="88">
                  <c:v>97</c:v>
                </c:pt>
                <c:pt idx="89">
                  <c:v>96.9</c:v>
                </c:pt>
                <c:pt idx="90">
                  <c:v>96.62</c:v>
                </c:pt>
                <c:pt idx="91">
                  <c:v>96.65</c:v>
                </c:pt>
                <c:pt idx="92">
                  <c:v>96.9</c:v>
                </c:pt>
                <c:pt idx="93">
                  <c:v>94.1</c:v>
                </c:pt>
                <c:pt idx="94">
                  <c:v>95.9</c:v>
                </c:pt>
                <c:pt idx="95">
                  <c:v>96.7</c:v>
                </c:pt>
                <c:pt idx="96">
                  <c:v>97</c:v>
                </c:pt>
                <c:pt idx="97">
                  <c:v>96.95</c:v>
                </c:pt>
                <c:pt idx="98">
                  <c:v>96.3</c:v>
                </c:pt>
                <c:pt idx="99">
                  <c:v>96.4</c:v>
                </c:pt>
                <c:pt idx="100">
                  <c:v>93.01</c:v>
                </c:pt>
                <c:pt idx="101">
                  <c:v>94.1</c:v>
                </c:pt>
                <c:pt idx="102">
                  <c:v>93.5</c:v>
                </c:pt>
                <c:pt idx="103">
                  <c:v>93.4</c:v>
                </c:pt>
                <c:pt idx="104">
                  <c:v>94</c:v>
                </c:pt>
                <c:pt idx="105">
                  <c:v>94.09</c:v>
                </c:pt>
                <c:pt idx="106">
                  <c:v>93</c:v>
                </c:pt>
                <c:pt idx="107">
                  <c:v>93.61</c:v>
                </c:pt>
                <c:pt idx="108">
                  <c:v>91.06</c:v>
                </c:pt>
                <c:pt idx="109">
                  <c:v>92.02</c:v>
                </c:pt>
                <c:pt idx="110">
                  <c:v>92</c:v>
                </c:pt>
                <c:pt idx="111">
                  <c:v>90.2</c:v>
                </c:pt>
                <c:pt idx="112">
                  <c:v>90</c:v>
                </c:pt>
                <c:pt idx="113">
                  <c:v>90</c:v>
                </c:pt>
                <c:pt idx="114">
                  <c:v>90.2</c:v>
                </c:pt>
                <c:pt idx="115">
                  <c:v>92.5</c:v>
                </c:pt>
                <c:pt idx="116">
                  <c:v>92</c:v>
                </c:pt>
                <c:pt idx="117">
                  <c:v>92.2</c:v>
                </c:pt>
                <c:pt idx="118">
                  <c:v>93</c:v>
                </c:pt>
                <c:pt idx="119">
                  <c:v>94</c:v>
                </c:pt>
                <c:pt idx="120">
                  <c:v>92.7</c:v>
                </c:pt>
                <c:pt idx="121">
                  <c:v>93.5</c:v>
                </c:pt>
                <c:pt idx="122">
                  <c:v>93.5</c:v>
                </c:pt>
                <c:pt idx="123">
                  <c:v>91.5</c:v>
                </c:pt>
                <c:pt idx="124">
                  <c:v>93.7</c:v>
                </c:pt>
                <c:pt idx="125">
                  <c:v>94</c:v>
                </c:pt>
                <c:pt idx="126">
                  <c:v>93.8</c:v>
                </c:pt>
                <c:pt idx="127">
                  <c:v>93.8</c:v>
                </c:pt>
                <c:pt idx="128">
                  <c:v>93.9</c:v>
                </c:pt>
                <c:pt idx="129">
                  <c:v>93.9</c:v>
                </c:pt>
                <c:pt idx="130">
                  <c:v>93.81</c:v>
                </c:pt>
                <c:pt idx="131">
                  <c:v>94</c:v>
                </c:pt>
                <c:pt idx="132">
                  <c:v>94.01</c:v>
                </c:pt>
                <c:pt idx="133">
                  <c:v>94.35</c:v>
                </c:pt>
                <c:pt idx="134">
                  <c:v>94</c:v>
                </c:pt>
                <c:pt idx="135">
                  <c:v>94.5</c:v>
                </c:pt>
                <c:pt idx="136">
                  <c:v>93.8</c:v>
                </c:pt>
                <c:pt idx="137">
                  <c:v>93.81</c:v>
                </c:pt>
                <c:pt idx="138">
                  <c:v>94</c:v>
                </c:pt>
                <c:pt idx="139">
                  <c:v>94</c:v>
                </c:pt>
                <c:pt idx="140">
                  <c:v>93</c:v>
                </c:pt>
                <c:pt idx="141">
                  <c:v>93.5</c:v>
                </c:pt>
                <c:pt idx="142">
                  <c:v>93.81</c:v>
                </c:pt>
                <c:pt idx="143">
                  <c:v>93.8</c:v>
                </c:pt>
                <c:pt idx="144">
                  <c:v>93.5</c:v>
                </c:pt>
                <c:pt idx="145">
                  <c:v>93.81</c:v>
                </c:pt>
                <c:pt idx="146">
                  <c:v>93.82</c:v>
                </c:pt>
                <c:pt idx="147">
                  <c:v>93</c:v>
                </c:pt>
                <c:pt idx="148">
                  <c:v>93.8</c:v>
                </c:pt>
                <c:pt idx="149">
                  <c:v>93.31</c:v>
                </c:pt>
                <c:pt idx="150">
                  <c:v>93.35</c:v>
                </c:pt>
                <c:pt idx="151">
                  <c:v>93</c:v>
                </c:pt>
                <c:pt idx="152">
                  <c:v>93.3</c:v>
                </c:pt>
                <c:pt idx="153">
                  <c:v>93.5</c:v>
                </c:pt>
                <c:pt idx="154">
                  <c:v>93.7</c:v>
                </c:pt>
                <c:pt idx="155">
                  <c:v>93.79</c:v>
                </c:pt>
                <c:pt idx="156">
                  <c:v>93.73</c:v>
                </c:pt>
                <c:pt idx="157">
                  <c:v>93.9</c:v>
                </c:pt>
                <c:pt idx="158">
                  <c:v>93.92</c:v>
                </c:pt>
                <c:pt idx="159">
                  <c:v>93.71</c:v>
                </c:pt>
                <c:pt idx="160">
                  <c:v>93.71</c:v>
                </c:pt>
                <c:pt idx="161">
                  <c:v>93.71</c:v>
                </c:pt>
                <c:pt idx="162">
                  <c:v>93.71</c:v>
                </c:pt>
                <c:pt idx="163">
                  <c:v>93.9</c:v>
                </c:pt>
                <c:pt idx="164">
                  <c:v>93</c:v>
                </c:pt>
                <c:pt idx="165">
                  <c:v>93.98</c:v>
                </c:pt>
                <c:pt idx="166">
                  <c:v>95</c:v>
                </c:pt>
                <c:pt idx="167">
                  <c:v>94.7</c:v>
                </c:pt>
                <c:pt idx="168">
                  <c:v>95</c:v>
                </c:pt>
                <c:pt idx="169">
                  <c:v>95.55</c:v>
                </c:pt>
                <c:pt idx="170">
                  <c:v>95.5</c:v>
                </c:pt>
                <c:pt idx="171">
                  <c:v>96</c:v>
                </c:pt>
                <c:pt idx="172">
                  <c:v>97</c:v>
                </c:pt>
                <c:pt idx="173">
                  <c:v>97.68</c:v>
                </c:pt>
                <c:pt idx="174">
                  <c:v>98.89</c:v>
                </c:pt>
                <c:pt idx="175">
                  <c:v>100.2</c:v>
                </c:pt>
                <c:pt idx="176">
                  <c:v>100.5</c:v>
                </c:pt>
                <c:pt idx="177">
                  <c:v>100.9</c:v>
                </c:pt>
                <c:pt idx="178">
                  <c:v>100.6</c:v>
                </c:pt>
                <c:pt idx="179">
                  <c:v>101</c:v>
                </c:pt>
                <c:pt idx="180">
                  <c:v>101</c:v>
                </c:pt>
                <c:pt idx="181">
                  <c:v>101.9</c:v>
                </c:pt>
                <c:pt idx="182">
                  <c:v>102.95</c:v>
                </c:pt>
                <c:pt idx="183">
                  <c:v>102.95</c:v>
                </c:pt>
                <c:pt idx="184">
                  <c:v>102.95</c:v>
                </c:pt>
                <c:pt idx="185">
                  <c:v>99</c:v>
                </c:pt>
                <c:pt idx="186">
                  <c:v>102</c:v>
                </c:pt>
                <c:pt idx="187">
                  <c:v>101.9</c:v>
                </c:pt>
                <c:pt idx="188">
                  <c:v>100</c:v>
                </c:pt>
                <c:pt idx="189">
                  <c:v>101</c:v>
                </c:pt>
                <c:pt idx="190">
                  <c:v>101</c:v>
                </c:pt>
                <c:pt idx="191">
                  <c:v>101</c:v>
                </c:pt>
                <c:pt idx="192">
                  <c:v>101.95</c:v>
                </c:pt>
                <c:pt idx="193">
                  <c:v>101.25</c:v>
                </c:pt>
                <c:pt idx="194">
                  <c:v>101.1</c:v>
                </c:pt>
                <c:pt idx="195">
                  <c:v>101.05</c:v>
                </c:pt>
                <c:pt idx="196">
                  <c:v>101</c:v>
                </c:pt>
                <c:pt idx="197">
                  <c:v>101</c:v>
                </c:pt>
                <c:pt idx="198">
                  <c:v>101.49</c:v>
                </c:pt>
                <c:pt idx="199">
                  <c:v>102.9</c:v>
                </c:pt>
                <c:pt idx="200">
                  <c:v>103.6</c:v>
                </c:pt>
                <c:pt idx="201">
                  <c:v>103</c:v>
                </c:pt>
                <c:pt idx="202">
                  <c:v>103.2</c:v>
                </c:pt>
                <c:pt idx="203">
                  <c:v>103.4</c:v>
                </c:pt>
                <c:pt idx="204">
                  <c:v>103.95</c:v>
                </c:pt>
                <c:pt idx="205">
                  <c:v>104.2</c:v>
                </c:pt>
                <c:pt idx="206">
                  <c:v>104.4</c:v>
                </c:pt>
                <c:pt idx="207">
                  <c:v>104.5</c:v>
                </c:pt>
                <c:pt idx="208">
                  <c:v>105.01</c:v>
                </c:pt>
                <c:pt idx="209">
                  <c:v>106.94</c:v>
                </c:pt>
                <c:pt idx="210">
                  <c:v>107</c:v>
                </c:pt>
                <c:pt idx="211">
                  <c:v>108.01</c:v>
                </c:pt>
                <c:pt idx="212">
                  <c:v>108.59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27-4C0B-9511-6432BB35D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1750864"/>
        <c:axId val="781750384"/>
      </c:lineChart>
      <c:dateAx>
        <c:axId val="781750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50384"/>
        <c:crosses val="autoZero"/>
        <c:auto val="1"/>
        <c:lblOffset val="100"/>
        <c:baseTimeUnit val="days"/>
      </c:dateAx>
      <c:valAx>
        <c:axId val="781750384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75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'Tunisia Stocks'!$G$1</c:f>
              <c:strCache>
                <c:ptCount val="1"/>
                <c:pt idx="0">
                  <c:v>Change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'Tunisia Stocks'!$A$2:$A$418</c:f>
              <c:numCache>
                <c:formatCode>m/d/yyyy</c:formatCode>
                <c:ptCount val="417"/>
                <c:pt idx="0">
                  <c:v>45659</c:v>
                </c:pt>
                <c:pt idx="1">
                  <c:v>45660</c:v>
                </c:pt>
                <c:pt idx="2">
                  <c:v>45663</c:v>
                </c:pt>
                <c:pt idx="3">
                  <c:v>45664</c:v>
                </c:pt>
                <c:pt idx="4">
                  <c:v>45665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45671</c:v>
                </c:pt>
                <c:pt idx="9">
                  <c:v>45672</c:v>
                </c:pt>
                <c:pt idx="10">
                  <c:v>45673</c:v>
                </c:pt>
                <c:pt idx="11">
                  <c:v>45674</c:v>
                </c:pt>
                <c:pt idx="12">
                  <c:v>45677</c:v>
                </c:pt>
                <c:pt idx="13">
                  <c:v>45678</c:v>
                </c:pt>
                <c:pt idx="14">
                  <c:v>45679</c:v>
                </c:pt>
                <c:pt idx="15">
                  <c:v>45680</c:v>
                </c:pt>
                <c:pt idx="16">
                  <c:v>45681</c:v>
                </c:pt>
                <c:pt idx="17">
                  <c:v>45684</c:v>
                </c:pt>
                <c:pt idx="18">
                  <c:v>45685</c:v>
                </c:pt>
                <c:pt idx="19">
                  <c:v>45686</c:v>
                </c:pt>
                <c:pt idx="20">
                  <c:v>45687</c:v>
                </c:pt>
                <c:pt idx="21">
                  <c:v>45688</c:v>
                </c:pt>
                <c:pt idx="22">
                  <c:v>45691</c:v>
                </c:pt>
                <c:pt idx="23">
                  <c:v>45692</c:v>
                </c:pt>
                <c:pt idx="24">
                  <c:v>45693</c:v>
                </c:pt>
                <c:pt idx="25">
                  <c:v>45694</c:v>
                </c:pt>
                <c:pt idx="26">
                  <c:v>45695</c:v>
                </c:pt>
                <c:pt idx="27">
                  <c:v>45698</c:v>
                </c:pt>
                <c:pt idx="28">
                  <c:v>45699</c:v>
                </c:pt>
                <c:pt idx="29">
                  <c:v>45700</c:v>
                </c:pt>
                <c:pt idx="30">
                  <c:v>45701</c:v>
                </c:pt>
                <c:pt idx="31">
                  <c:v>45702</c:v>
                </c:pt>
                <c:pt idx="32">
                  <c:v>45705</c:v>
                </c:pt>
                <c:pt idx="33">
                  <c:v>45706</c:v>
                </c:pt>
                <c:pt idx="34">
                  <c:v>45707</c:v>
                </c:pt>
                <c:pt idx="35">
                  <c:v>45708</c:v>
                </c:pt>
                <c:pt idx="36">
                  <c:v>45709</c:v>
                </c:pt>
                <c:pt idx="37">
                  <c:v>45712</c:v>
                </c:pt>
                <c:pt idx="38">
                  <c:v>45713</c:v>
                </c:pt>
                <c:pt idx="39">
                  <c:v>45714</c:v>
                </c:pt>
                <c:pt idx="40">
                  <c:v>45715</c:v>
                </c:pt>
                <c:pt idx="41">
                  <c:v>45716</c:v>
                </c:pt>
                <c:pt idx="42">
                  <c:v>45719</c:v>
                </c:pt>
                <c:pt idx="43">
                  <c:v>45720</c:v>
                </c:pt>
                <c:pt idx="44">
                  <c:v>45721</c:v>
                </c:pt>
                <c:pt idx="45">
                  <c:v>45722</c:v>
                </c:pt>
                <c:pt idx="46">
                  <c:v>45723</c:v>
                </c:pt>
                <c:pt idx="47">
                  <c:v>45726</c:v>
                </c:pt>
                <c:pt idx="48">
                  <c:v>45727</c:v>
                </c:pt>
                <c:pt idx="49">
                  <c:v>45728</c:v>
                </c:pt>
                <c:pt idx="50">
                  <c:v>45729</c:v>
                </c:pt>
                <c:pt idx="51">
                  <c:v>45730</c:v>
                </c:pt>
                <c:pt idx="52">
                  <c:v>45733</c:v>
                </c:pt>
                <c:pt idx="53">
                  <c:v>45734</c:v>
                </c:pt>
                <c:pt idx="54">
                  <c:v>45735</c:v>
                </c:pt>
                <c:pt idx="55">
                  <c:v>45737</c:v>
                </c:pt>
                <c:pt idx="56">
                  <c:v>45740</c:v>
                </c:pt>
                <c:pt idx="57">
                  <c:v>45741</c:v>
                </c:pt>
                <c:pt idx="58">
                  <c:v>45742</c:v>
                </c:pt>
                <c:pt idx="59">
                  <c:v>45743</c:v>
                </c:pt>
                <c:pt idx="60">
                  <c:v>45744</c:v>
                </c:pt>
                <c:pt idx="61">
                  <c:v>45749</c:v>
                </c:pt>
                <c:pt idx="62">
                  <c:v>45750</c:v>
                </c:pt>
                <c:pt idx="63">
                  <c:v>45751</c:v>
                </c:pt>
                <c:pt idx="64">
                  <c:v>45754</c:v>
                </c:pt>
                <c:pt idx="65">
                  <c:v>45755</c:v>
                </c:pt>
                <c:pt idx="66">
                  <c:v>45757</c:v>
                </c:pt>
                <c:pt idx="67">
                  <c:v>45758</c:v>
                </c:pt>
                <c:pt idx="68">
                  <c:v>45761</c:v>
                </c:pt>
                <c:pt idx="69">
                  <c:v>45762</c:v>
                </c:pt>
                <c:pt idx="70">
                  <c:v>45763</c:v>
                </c:pt>
                <c:pt idx="71">
                  <c:v>45764</c:v>
                </c:pt>
                <c:pt idx="72">
                  <c:v>45765</c:v>
                </c:pt>
                <c:pt idx="73">
                  <c:v>45768</c:v>
                </c:pt>
                <c:pt idx="74">
                  <c:v>45769</c:v>
                </c:pt>
                <c:pt idx="75">
                  <c:v>45770</c:v>
                </c:pt>
                <c:pt idx="76">
                  <c:v>45771</c:v>
                </c:pt>
                <c:pt idx="77">
                  <c:v>45772</c:v>
                </c:pt>
                <c:pt idx="78">
                  <c:v>45775</c:v>
                </c:pt>
                <c:pt idx="79">
                  <c:v>45776</c:v>
                </c:pt>
                <c:pt idx="80">
                  <c:v>45777</c:v>
                </c:pt>
                <c:pt idx="81">
                  <c:v>45779</c:v>
                </c:pt>
                <c:pt idx="82">
                  <c:v>45782</c:v>
                </c:pt>
                <c:pt idx="83">
                  <c:v>45783</c:v>
                </c:pt>
                <c:pt idx="84">
                  <c:v>45784</c:v>
                </c:pt>
                <c:pt idx="85">
                  <c:v>45785</c:v>
                </c:pt>
                <c:pt idx="86">
                  <c:v>45786</c:v>
                </c:pt>
                <c:pt idx="87">
                  <c:v>45789</c:v>
                </c:pt>
                <c:pt idx="88">
                  <c:v>45790</c:v>
                </c:pt>
                <c:pt idx="89">
                  <c:v>45791</c:v>
                </c:pt>
                <c:pt idx="90">
                  <c:v>45792</c:v>
                </c:pt>
                <c:pt idx="91">
                  <c:v>45793</c:v>
                </c:pt>
                <c:pt idx="92">
                  <c:v>45796</c:v>
                </c:pt>
                <c:pt idx="93">
                  <c:v>45797</c:v>
                </c:pt>
                <c:pt idx="94">
                  <c:v>45798</c:v>
                </c:pt>
                <c:pt idx="95">
                  <c:v>45799</c:v>
                </c:pt>
                <c:pt idx="96">
                  <c:v>45800</c:v>
                </c:pt>
                <c:pt idx="97">
                  <c:v>45803</c:v>
                </c:pt>
                <c:pt idx="98">
                  <c:v>45804</c:v>
                </c:pt>
                <c:pt idx="99">
                  <c:v>45805</c:v>
                </c:pt>
                <c:pt idx="100">
                  <c:v>45806</c:v>
                </c:pt>
                <c:pt idx="101">
                  <c:v>45807</c:v>
                </c:pt>
                <c:pt idx="102">
                  <c:v>45810</c:v>
                </c:pt>
                <c:pt idx="103">
                  <c:v>45811</c:v>
                </c:pt>
                <c:pt idx="104">
                  <c:v>45812</c:v>
                </c:pt>
                <c:pt idx="105">
                  <c:v>45813</c:v>
                </c:pt>
                <c:pt idx="106">
                  <c:v>45817</c:v>
                </c:pt>
                <c:pt idx="107">
                  <c:v>45818</c:v>
                </c:pt>
                <c:pt idx="108">
                  <c:v>45819</c:v>
                </c:pt>
                <c:pt idx="109">
                  <c:v>45820</c:v>
                </c:pt>
                <c:pt idx="110">
                  <c:v>45821</c:v>
                </c:pt>
                <c:pt idx="111">
                  <c:v>45824</c:v>
                </c:pt>
                <c:pt idx="112">
                  <c:v>45825</c:v>
                </c:pt>
                <c:pt idx="113">
                  <c:v>45826</c:v>
                </c:pt>
                <c:pt idx="114">
                  <c:v>45827</c:v>
                </c:pt>
                <c:pt idx="115">
                  <c:v>45828</c:v>
                </c:pt>
                <c:pt idx="116">
                  <c:v>45831</c:v>
                </c:pt>
                <c:pt idx="117">
                  <c:v>45832</c:v>
                </c:pt>
                <c:pt idx="118">
                  <c:v>45833</c:v>
                </c:pt>
                <c:pt idx="119">
                  <c:v>45835</c:v>
                </c:pt>
                <c:pt idx="120">
                  <c:v>45838</c:v>
                </c:pt>
                <c:pt idx="121">
                  <c:v>45839</c:v>
                </c:pt>
                <c:pt idx="122">
                  <c:v>45840</c:v>
                </c:pt>
                <c:pt idx="123">
                  <c:v>45841</c:v>
                </c:pt>
                <c:pt idx="124">
                  <c:v>45842</c:v>
                </c:pt>
                <c:pt idx="125">
                  <c:v>45845</c:v>
                </c:pt>
                <c:pt idx="126">
                  <c:v>45846</c:v>
                </c:pt>
                <c:pt idx="127">
                  <c:v>45847</c:v>
                </c:pt>
                <c:pt idx="128">
                  <c:v>45848</c:v>
                </c:pt>
                <c:pt idx="129">
                  <c:v>45849</c:v>
                </c:pt>
                <c:pt idx="130">
                  <c:v>45852</c:v>
                </c:pt>
                <c:pt idx="131">
                  <c:v>45853</c:v>
                </c:pt>
                <c:pt idx="132">
                  <c:v>45854</c:v>
                </c:pt>
                <c:pt idx="133">
                  <c:v>45855</c:v>
                </c:pt>
                <c:pt idx="134">
                  <c:v>45856</c:v>
                </c:pt>
                <c:pt idx="135">
                  <c:v>45859</c:v>
                </c:pt>
                <c:pt idx="136">
                  <c:v>45860</c:v>
                </c:pt>
                <c:pt idx="137">
                  <c:v>45861</c:v>
                </c:pt>
                <c:pt idx="138">
                  <c:v>45862</c:v>
                </c:pt>
                <c:pt idx="139">
                  <c:v>45866</c:v>
                </c:pt>
                <c:pt idx="140">
                  <c:v>45867</c:v>
                </c:pt>
                <c:pt idx="141">
                  <c:v>45868</c:v>
                </c:pt>
                <c:pt idx="142">
                  <c:v>45869</c:v>
                </c:pt>
                <c:pt idx="143">
                  <c:v>45870</c:v>
                </c:pt>
                <c:pt idx="144">
                  <c:v>45873</c:v>
                </c:pt>
                <c:pt idx="145">
                  <c:v>45874</c:v>
                </c:pt>
                <c:pt idx="146">
                  <c:v>45875</c:v>
                </c:pt>
                <c:pt idx="147">
                  <c:v>45876</c:v>
                </c:pt>
                <c:pt idx="148">
                  <c:v>45877</c:v>
                </c:pt>
                <c:pt idx="149">
                  <c:v>45880</c:v>
                </c:pt>
                <c:pt idx="150">
                  <c:v>45881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45901</c:v>
                </c:pt>
                <c:pt idx="164">
                  <c:v>45902</c:v>
                </c:pt>
                <c:pt idx="165">
                  <c:v>45903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45946</c:v>
                </c:pt>
                <c:pt idx="195">
                  <c:v>45947</c:v>
                </c:pt>
                <c:pt idx="196">
                  <c:v>45950</c:v>
                </c:pt>
                <c:pt idx="197">
                  <c:v>45951</c:v>
                </c:pt>
                <c:pt idx="198">
                  <c:v>45952</c:v>
                </c:pt>
                <c:pt idx="199">
                  <c:v>45953</c:v>
                </c:pt>
                <c:pt idx="200">
                  <c:v>45954</c:v>
                </c:pt>
                <c:pt idx="201">
                  <c:v>45957</c:v>
                </c:pt>
                <c:pt idx="202">
                  <c:v>45958</c:v>
                </c:pt>
                <c:pt idx="203">
                  <c:v>45959</c:v>
                </c:pt>
                <c:pt idx="204">
                  <c:v>45960</c:v>
                </c:pt>
                <c:pt idx="205">
                  <c:v>45961</c:v>
                </c:pt>
                <c:pt idx="206">
                  <c:v>45964</c:v>
                </c:pt>
                <c:pt idx="207">
                  <c:v>45965</c:v>
                </c:pt>
                <c:pt idx="208">
                  <c:v>45966</c:v>
                </c:pt>
                <c:pt idx="209">
                  <c:v>45967</c:v>
                </c:pt>
                <c:pt idx="210">
                  <c:v>45968</c:v>
                </c:pt>
                <c:pt idx="211">
                  <c:v>45971</c:v>
                </c:pt>
                <c:pt idx="212">
                  <c:v>45972</c:v>
                </c:pt>
              </c:numCache>
            </c:numRef>
          </c:cat>
          <c:val>
            <c:numRef>
              <c:f>'Tunisia Stocks'!$G$2:$G$418</c:f>
              <c:numCache>
                <c:formatCode>0.00%</c:formatCode>
                <c:ptCount val="417"/>
                <c:pt idx="0">
                  <c:v>6.9999999999999999E-4</c:v>
                </c:pt>
                <c:pt idx="1">
                  <c:v>-4.3E-3</c:v>
                </c:pt>
                <c:pt idx="2">
                  <c:v>2E-3</c:v>
                </c:pt>
                <c:pt idx="3">
                  <c:v>-2E-3</c:v>
                </c:pt>
                <c:pt idx="4">
                  <c:v>2.0999999999999999E-3</c:v>
                </c:pt>
                <c:pt idx="5">
                  <c:v>3.0999999999999999E-3</c:v>
                </c:pt>
                <c:pt idx="6">
                  <c:v>0</c:v>
                </c:pt>
                <c:pt idx="7">
                  <c:v>1E-4</c:v>
                </c:pt>
                <c:pt idx="8">
                  <c:v>1.0500000000000001E-2</c:v>
                </c:pt>
                <c:pt idx="9">
                  <c:v>2.12E-2</c:v>
                </c:pt>
                <c:pt idx="10">
                  <c:v>-1.5E-3</c:v>
                </c:pt>
                <c:pt idx="11">
                  <c:v>-3.5999999999999999E-3</c:v>
                </c:pt>
                <c:pt idx="12">
                  <c:v>0</c:v>
                </c:pt>
                <c:pt idx="13">
                  <c:v>5.1999999999999998E-3</c:v>
                </c:pt>
                <c:pt idx="14">
                  <c:v>-2.0999999999999999E-3</c:v>
                </c:pt>
                <c:pt idx="15">
                  <c:v>1.6500000000000001E-2</c:v>
                </c:pt>
                <c:pt idx="16">
                  <c:v>5.1000000000000004E-3</c:v>
                </c:pt>
                <c:pt idx="17">
                  <c:v>-9.1000000000000004E-3</c:v>
                </c:pt>
                <c:pt idx="18">
                  <c:v>-2E-3</c:v>
                </c:pt>
                <c:pt idx="19">
                  <c:v>-4.1000000000000003E-3</c:v>
                </c:pt>
                <c:pt idx="20">
                  <c:v>3.0999999999999999E-3</c:v>
                </c:pt>
                <c:pt idx="21">
                  <c:v>-7.1999999999999998E-3</c:v>
                </c:pt>
                <c:pt idx="22">
                  <c:v>0</c:v>
                </c:pt>
                <c:pt idx="23">
                  <c:v>-2.0000000000000001E-4</c:v>
                </c:pt>
                <c:pt idx="24">
                  <c:v>-8.0000000000000004E-4</c:v>
                </c:pt>
                <c:pt idx="25">
                  <c:v>-4.5999999999999999E-3</c:v>
                </c:pt>
                <c:pt idx="26">
                  <c:v>5.5999999999999999E-3</c:v>
                </c:pt>
                <c:pt idx="27">
                  <c:v>4.1999999999999997E-3</c:v>
                </c:pt>
                <c:pt idx="28">
                  <c:v>-3.8E-3</c:v>
                </c:pt>
                <c:pt idx="29">
                  <c:v>1.1999999999999999E-3</c:v>
                </c:pt>
                <c:pt idx="30">
                  <c:v>2.5999999999999999E-3</c:v>
                </c:pt>
                <c:pt idx="31">
                  <c:v>1E-3</c:v>
                </c:pt>
                <c:pt idx="32">
                  <c:v>0</c:v>
                </c:pt>
                <c:pt idx="33">
                  <c:v>1.03E-2</c:v>
                </c:pt>
                <c:pt idx="34">
                  <c:v>4.0000000000000001E-3</c:v>
                </c:pt>
                <c:pt idx="35">
                  <c:v>1E-4</c:v>
                </c:pt>
                <c:pt idx="36">
                  <c:v>6.1000000000000004E-3</c:v>
                </c:pt>
                <c:pt idx="37">
                  <c:v>-5.0000000000000001E-3</c:v>
                </c:pt>
                <c:pt idx="38">
                  <c:v>-2.8999999999999998E-3</c:v>
                </c:pt>
                <c:pt idx="39">
                  <c:v>1.9E-3</c:v>
                </c:pt>
                <c:pt idx="40">
                  <c:v>8.0999999999999996E-3</c:v>
                </c:pt>
                <c:pt idx="41">
                  <c:v>2E-3</c:v>
                </c:pt>
                <c:pt idx="42">
                  <c:v>1.0999999999999999E-2</c:v>
                </c:pt>
                <c:pt idx="43">
                  <c:v>2.4799999999999999E-2</c:v>
                </c:pt>
                <c:pt idx="44">
                  <c:v>-4.7999999999999996E-3</c:v>
                </c:pt>
                <c:pt idx="45">
                  <c:v>2.3999999999999998E-3</c:v>
                </c:pt>
                <c:pt idx="46">
                  <c:v>-2.18E-2</c:v>
                </c:pt>
                <c:pt idx="47">
                  <c:v>-1E-4</c:v>
                </c:pt>
                <c:pt idx="48">
                  <c:v>-8.8000000000000005E-3</c:v>
                </c:pt>
                <c:pt idx="49">
                  <c:v>8.9999999999999993E-3</c:v>
                </c:pt>
                <c:pt idx="50">
                  <c:v>8.8999999999999999E-3</c:v>
                </c:pt>
                <c:pt idx="51">
                  <c:v>-1.2800000000000001E-2</c:v>
                </c:pt>
                <c:pt idx="52">
                  <c:v>-1E-4</c:v>
                </c:pt>
                <c:pt idx="53">
                  <c:v>-6.8999999999999999E-3</c:v>
                </c:pt>
                <c:pt idx="54">
                  <c:v>-1.8E-3</c:v>
                </c:pt>
                <c:pt idx="55">
                  <c:v>-2.0000000000000001E-4</c:v>
                </c:pt>
                <c:pt idx="56">
                  <c:v>-8.0000000000000002E-3</c:v>
                </c:pt>
                <c:pt idx="57">
                  <c:v>0</c:v>
                </c:pt>
                <c:pt idx="58">
                  <c:v>-2.3999999999999998E-3</c:v>
                </c:pt>
                <c:pt idx="59">
                  <c:v>2.3999999999999998E-3</c:v>
                </c:pt>
                <c:pt idx="60">
                  <c:v>-4.0000000000000001E-3</c:v>
                </c:pt>
                <c:pt idx="61">
                  <c:v>0</c:v>
                </c:pt>
                <c:pt idx="62">
                  <c:v>0</c:v>
                </c:pt>
                <c:pt idx="63">
                  <c:v>3.5999999999999999E-3</c:v>
                </c:pt>
                <c:pt idx="64">
                  <c:v>-8.6E-3</c:v>
                </c:pt>
                <c:pt idx="65">
                  <c:v>6.1000000000000004E-3</c:v>
                </c:pt>
                <c:pt idx="66">
                  <c:v>0</c:v>
                </c:pt>
                <c:pt idx="67">
                  <c:v>3.8999999999999998E-3</c:v>
                </c:pt>
                <c:pt idx="68">
                  <c:v>2.2000000000000001E-3</c:v>
                </c:pt>
                <c:pt idx="69">
                  <c:v>8.0000000000000002E-3</c:v>
                </c:pt>
                <c:pt idx="70">
                  <c:v>0</c:v>
                </c:pt>
                <c:pt idx="71">
                  <c:v>0.02</c:v>
                </c:pt>
                <c:pt idx="72">
                  <c:v>-9.7999999999999997E-3</c:v>
                </c:pt>
                <c:pt idx="73">
                  <c:v>8.6999999999999994E-3</c:v>
                </c:pt>
                <c:pt idx="74">
                  <c:v>0</c:v>
                </c:pt>
                <c:pt idx="75">
                  <c:v>1.2999999999999999E-3</c:v>
                </c:pt>
                <c:pt idx="76">
                  <c:v>9.7999999999999997E-3</c:v>
                </c:pt>
                <c:pt idx="77">
                  <c:v>-5.0000000000000001E-3</c:v>
                </c:pt>
                <c:pt idx="78">
                  <c:v>0</c:v>
                </c:pt>
                <c:pt idx="79">
                  <c:v>8.8999999999999999E-3</c:v>
                </c:pt>
                <c:pt idx="80">
                  <c:v>-3.8999999999999998E-3</c:v>
                </c:pt>
                <c:pt idx="81">
                  <c:v>4.8999999999999998E-3</c:v>
                </c:pt>
                <c:pt idx="82">
                  <c:v>0</c:v>
                </c:pt>
                <c:pt idx="83">
                  <c:v>-2.9999999999999997E-4</c:v>
                </c:pt>
                <c:pt idx="84">
                  <c:v>0</c:v>
                </c:pt>
                <c:pt idx="85">
                  <c:v>-6.9999999999999999E-4</c:v>
                </c:pt>
                <c:pt idx="86">
                  <c:v>5.0000000000000001E-4</c:v>
                </c:pt>
                <c:pt idx="87">
                  <c:v>-5.9400000000000001E-2</c:v>
                </c:pt>
                <c:pt idx="88">
                  <c:v>-2.0999999999999999E-3</c:v>
                </c:pt>
                <c:pt idx="89">
                  <c:v>-1E-3</c:v>
                </c:pt>
                <c:pt idx="90">
                  <c:v>-2.0000000000000001E-4</c:v>
                </c:pt>
                <c:pt idx="91">
                  <c:v>1.1999999999999999E-3</c:v>
                </c:pt>
                <c:pt idx="92">
                  <c:v>-2.0999999999999999E-3</c:v>
                </c:pt>
                <c:pt idx="93">
                  <c:v>-2.1700000000000001E-2</c:v>
                </c:pt>
                <c:pt idx="94">
                  <c:v>2.3099999999999999E-2</c:v>
                </c:pt>
                <c:pt idx="95">
                  <c:v>1E-4</c:v>
                </c:pt>
                <c:pt idx="96">
                  <c:v>0</c:v>
                </c:pt>
                <c:pt idx="97">
                  <c:v>-2.0000000000000001E-4</c:v>
                </c:pt>
                <c:pt idx="98">
                  <c:v>-4.8999999999999998E-3</c:v>
                </c:pt>
                <c:pt idx="99">
                  <c:v>-1E-3</c:v>
                </c:pt>
                <c:pt idx="100">
                  <c:v>-6.1999999999999998E-3</c:v>
                </c:pt>
                <c:pt idx="101">
                  <c:v>-1.3599999999999999E-2</c:v>
                </c:pt>
                <c:pt idx="102">
                  <c:v>0</c:v>
                </c:pt>
                <c:pt idx="103">
                  <c:v>-5.3E-3</c:v>
                </c:pt>
                <c:pt idx="104">
                  <c:v>2.0999999999999999E-3</c:v>
                </c:pt>
                <c:pt idx="105">
                  <c:v>-1.1000000000000001E-3</c:v>
                </c:pt>
                <c:pt idx="106">
                  <c:v>-1.1000000000000001E-3</c:v>
                </c:pt>
                <c:pt idx="107">
                  <c:v>8.9999999999999998E-4</c:v>
                </c:pt>
                <c:pt idx="108">
                  <c:v>-6.3E-3</c:v>
                </c:pt>
                <c:pt idx="109">
                  <c:v>-2E-3</c:v>
                </c:pt>
                <c:pt idx="110">
                  <c:v>-1.3899999999999999E-2</c:v>
                </c:pt>
                <c:pt idx="111">
                  <c:v>-1.47E-2</c:v>
                </c:pt>
                <c:pt idx="112">
                  <c:v>-1.6999999999999999E-3</c:v>
                </c:pt>
                <c:pt idx="113">
                  <c:v>-3.3E-3</c:v>
                </c:pt>
                <c:pt idx="114">
                  <c:v>3.09E-2</c:v>
                </c:pt>
                <c:pt idx="115">
                  <c:v>-2.2000000000000001E-3</c:v>
                </c:pt>
                <c:pt idx="116">
                  <c:v>-8.3000000000000001E-3</c:v>
                </c:pt>
                <c:pt idx="117">
                  <c:v>2.1499999999999998E-2</c:v>
                </c:pt>
                <c:pt idx="118">
                  <c:v>0</c:v>
                </c:pt>
                <c:pt idx="119">
                  <c:v>1.6000000000000001E-3</c:v>
                </c:pt>
                <c:pt idx="120">
                  <c:v>-1.6000000000000001E-3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-1.1000000000000001E-3</c:v>
                </c:pt>
                <c:pt idx="129">
                  <c:v>1.1000000000000001E-3</c:v>
                </c:pt>
                <c:pt idx="130">
                  <c:v>0</c:v>
                </c:pt>
                <c:pt idx="131">
                  <c:v>1.04E-2</c:v>
                </c:pt>
                <c:pt idx="132">
                  <c:v>-5.1000000000000004E-3</c:v>
                </c:pt>
                <c:pt idx="133">
                  <c:v>-1.1000000000000001E-3</c:v>
                </c:pt>
                <c:pt idx="134">
                  <c:v>0</c:v>
                </c:pt>
                <c:pt idx="135">
                  <c:v>2.0999999999999999E-3</c:v>
                </c:pt>
                <c:pt idx="136">
                  <c:v>-8.5000000000000006E-3</c:v>
                </c:pt>
                <c:pt idx="137">
                  <c:v>5.3E-3</c:v>
                </c:pt>
                <c:pt idx="138">
                  <c:v>-1.1000000000000001E-3</c:v>
                </c:pt>
                <c:pt idx="139">
                  <c:v>0</c:v>
                </c:pt>
                <c:pt idx="140">
                  <c:v>-4.1999999999999997E-3</c:v>
                </c:pt>
                <c:pt idx="141">
                  <c:v>2.0999999999999999E-3</c:v>
                </c:pt>
                <c:pt idx="142">
                  <c:v>0</c:v>
                </c:pt>
                <c:pt idx="143">
                  <c:v>0</c:v>
                </c:pt>
                <c:pt idx="144">
                  <c:v>-5.0000000000000001E-4</c:v>
                </c:pt>
                <c:pt idx="145">
                  <c:v>-5.0000000000000001E-4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-5.0000000000000001E-4</c:v>
                </c:pt>
                <c:pt idx="150">
                  <c:v>-1.6000000000000001E-3</c:v>
                </c:pt>
                <c:pt idx="151">
                  <c:v>0</c:v>
                </c:pt>
                <c:pt idx="152">
                  <c:v>-2.0000000000000001E-4</c:v>
                </c:pt>
                <c:pt idx="153">
                  <c:v>2.0000000000000001E-4</c:v>
                </c:pt>
                <c:pt idx="154">
                  <c:v>1E-3</c:v>
                </c:pt>
                <c:pt idx="155">
                  <c:v>1.1999999999999999E-3</c:v>
                </c:pt>
                <c:pt idx="156">
                  <c:v>0</c:v>
                </c:pt>
                <c:pt idx="157">
                  <c:v>1.1000000000000001E-3</c:v>
                </c:pt>
                <c:pt idx="158">
                  <c:v>-8.9999999999999998E-4</c:v>
                </c:pt>
                <c:pt idx="159">
                  <c:v>-2.2000000000000001E-3</c:v>
                </c:pt>
                <c:pt idx="160">
                  <c:v>3.0999999999999999E-3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-2.7000000000000001E-3</c:v>
                </c:pt>
                <c:pt idx="165">
                  <c:v>1.8700000000000001E-2</c:v>
                </c:pt>
                <c:pt idx="166">
                  <c:v>-1.1999999999999999E-3</c:v>
                </c:pt>
                <c:pt idx="167">
                  <c:v>-7.1999999999999998E-3</c:v>
                </c:pt>
                <c:pt idx="168">
                  <c:v>1.37E-2</c:v>
                </c:pt>
                <c:pt idx="169">
                  <c:v>-2.2000000000000001E-3</c:v>
                </c:pt>
                <c:pt idx="170">
                  <c:v>2.1999999999999999E-2</c:v>
                </c:pt>
                <c:pt idx="171">
                  <c:v>-2.0999999999999999E-3</c:v>
                </c:pt>
                <c:pt idx="172">
                  <c:v>-1E-4</c:v>
                </c:pt>
                <c:pt idx="173">
                  <c:v>1.24E-2</c:v>
                </c:pt>
                <c:pt idx="174">
                  <c:v>2.1299999999999999E-2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-1.6000000000000001E-3</c:v>
                </c:pt>
                <c:pt idx="179">
                  <c:v>4.0000000000000001E-3</c:v>
                </c:pt>
                <c:pt idx="180">
                  <c:v>6.4999999999999997E-3</c:v>
                </c:pt>
                <c:pt idx="181">
                  <c:v>1.03E-2</c:v>
                </c:pt>
                <c:pt idx="182">
                  <c:v>6.3E-3</c:v>
                </c:pt>
                <c:pt idx="183">
                  <c:v>-5.7999999999999996E-3</c:v>
                </c:pt>
                <c:pt idx="184">
                  <c:v>0</c:v>
                </c:pt>
                <c:pt idx="185">
                  <c:v>-5.9999999999999995E-4</c:v>
                </c:pt>
                <c:pt idx="186">
                  <c:v>-9.1000000000000004E-3</c:v>
                </c:pt>
                <c:pt idx="187">
                  <c:v>6.7999999999999996E-3</c:v>
                </c:pt>
                <c:pt idx="188">
                  <c:v>-6.7999999999999996E-3</c:v>
                </c:pt>
                <c:pt idx="189">
                  <c:v>-9.7000000000000003E-3</c:v>
                </c:pt>
                <c:pt idx="190">
                  <c:v>4.0000000000000001E-3</c:v>
                </c:pt>
                <c:pt idx="191">
                  <c:v>0</c:v>
                </c:pt>
                <c:pt idx="192">
                  <c:v>5.5999999999999999E-3</c:v>
                </c:pt>
                <c:pt idx="193">
                  <c:v>-2.9999999999999997E-4</c:v>
                </c:pt>
                <c:pt idx="194">
                  <c:v>-8.2000000000000007E-3</c:v>
                </c:pt>
                <c:pt idx="195">
                  <c:v>0</c:v>
                </c:pt>
                <c:pt idx="196">
                  <c:v>-5.0000000000000001E-4</c:v>
                </c:pt>
                <c:pt idx="197">
                  <c:v>0</c:v>
                </c:pt>
                <c:pt idx="198">
                  <c:v>1.7299999999999999E-2</c:v>
                </c:pt>
                <c:pt idx="199">
                  <c:v>9.7000000000000003E-3</c:v>
                </c:pt>
                <c:pt idx="200">
                  <c:v>-1E-3</c:v>
                </c:pt>
                <c:pt idx="201">
                  <c:v>-2.8999999999999998E-3</c:v>
                </c:pt>
                <c:pt idx="202">
                  <c:v>4.7999999999999996E-3</c:v>
                </c:pt>
                <c:pt idx="203">
                  <c:v>5.0000000000000001E-4</c:v>
                </c:pt>
                <c:pt idx="204">
                  <c:v>2.3999999999999998E-3</c:v>
                </c:pt>
                <c:pt idx="205">
                  <c:v>1.23E-2</c:v>
                </c:pt>
                <c:pt idx="206">
                  <c:v>-8.0000000000000004E-4</c:v>
                </c:pt>
                <c:pt idx="207">
                  <c:v>8.9999999999999998E-4</c:v>
                </c:pt>
                <c:pt idx="208">
                  <c:v>1.3599999999999999E-2</c:v>
                </c:pt>
                <c:pt idx="209">
                  <c:v>5.1999999999999998E-3</c:v>
                </c:pt>
                <c:pt idx="210">
                  <c:v>4.7000000000000002E-3</c:v>
                </c:pt>
                <c:pt idx="211">
                  <c:v>5.5999999999999999E-3</c:v>
                </c:pt>
                <c:pt idx="212">
                  <c:v>1.8E-3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7C-4DFD-958E-160B7E9DE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8274608"/>
        <c:axId val="758275088"/>
      </c:lineChart>
      <c:dateAx>
        <c:axId val="7582746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275088"/>
        <c:crosses val="autoZero"/>
        <c:auto val="1"/>
        <c:lblOffset val="100"/>
        <c:baseTimeUnit val="days"/>
      </c:dateAx>
      <c:valAx>
        <c:axId val="75827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27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E2E5A-C931-4CE6-8E5F-8032185CC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8B30A9-15BF-49D8-A1A3-245E2B5A5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29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2CE67E-E9BC-46AB-A74E-F4DA32D99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29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985845-619F-4A9B-A3B3-9F1F88E69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7</xdr:col>
      <xdr:colOff>304800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A1A7E0-EF06-4880-8A14-6A693A4D2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15</xdr:col>
      <xdr:colOff>304800</xdr:colOff>
      <xdr:row>44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70F0166-7380-4533-9FA0-F942D368E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">
  <a r="1" c="216">
    <v t="i">1</v>
    <v t="i">2</v>
    <v t="i">5</v>
    <v t="i">6</v>
    <v t="i">7</v>
    <v t="i">9</v>
    <v t="i">12</v>
    <v t="i">13</v>
    <v t="i">14</v>
    <v t="i">15</v>
    <v t="i">16</v>
    <v t="i">20</v>
    <v t="i">21</v>
    <v t="i">22</v>
    <v t="i">23</v>
    <v t="i">26</v>
    <v t="i">27</v>
    <v t="i">28</v>
    <v t="i">29</v>
    <v t="i">30</v>
    <v t="i">33</v>
    <v t="i">34</v>
    <v t="i">35</v>
    <v t="i">36</v>
    <v t="i">37</v>
    <v t="i">40</v>
    <v t="i">41</v>
    <v t="i">42</v>
    <v t="i">43</v>
    <v t="i">44</v>
    <v t="i">48</v>
    <v t="i">49</v>
    <v t="i">50</v>
    <v t="i">51</v>
    <v t="i">54</v>
    <v t="i">55</v>
    <v t="i">56</v>
    <v t="i">57</v>
    <v t="i">58</v>
    <v t="i">61</v>
    <v t="i">62</v>
    <v t="i">63</v>
    <v t="i">64</v>
    <v t="i">65</v>
    <v t="i">68</v>
    <v t="i">69</v>
    <v t="i">70</v>
    <v t="i">71</v>
    <v t="i">72</v>
    <v t="i">75</v>
    <v t="i">76</v>
    <v t="i">77</v>
    <v t="i">78</v>
    <v t="i">79</v>
    <v t="i">82</v>
    <v t="i">83</v>
    <v t="i">84</v>
    <v t="i">85</v>
    <v t="i">86</v>
    <v t="i">89</v>
    <v t="i">90</v>
    <v t="i">91</v>
    <v t="i">92</v>
    <v t="i">93</v>
    <v t="i">96</v>
    <v t="i">97</v>
    <v t="i">98</v>
    <v t="i">99</v>
    <v t="i">100</v>
    <v t="i">103</v>
    <v t="i">104</v>
    <v t="i">105</v>
    <v t="i">106</v>
    <v t="i">110</v>
    <v t="i">111</v>
    <v t="i">112</v>
    <v t="i">113</v>
    <v t="i">114</v>
    <v t="i">117</v>
    <v t="i">118</v>
    <v t="i">119</v>
    <v t="i">120</v>
    <v t="i">121</v>
    <v t="i">124</v>
    <v t="i">125</v>
    <v t="i">126</v>
    <v t="i">127</v>
    <v t="i">128</v>
    <v t="i">131</v>
    <v t="i">132</v>
    <v t="i">133</v>
    <v t="i">134</v>
    <v t="i">135</v>
    <v t="i">138</v>
    <v t="i">139</v>
    <v t="i">140</v>
    <v t="i">141</v>
    <v t="i">142</v>
    <v t="i">146</v>
    <v t="i">147</v>
    <v t="i">148</v>
    <v t="i">149</v>
    <v t="i">152</v>
    <v t="i">153</v>
    <v t="i">154</v>
    <v t="i">155</v>
    <v t="i">156</v>
    <v t="i">159</v>
    <v t="i">160</v>
    <v t="i">161</v>
    <v t="i">162</v>
    <v t="i">163</v>
    <v t="i">166</v>
    <v t="i">167</v>
    <v t="i">168</v>
    <v t="i">170</v>
    <v t="i">173</v>
    <v t="i">174</v>
    <v t="i">175</v>
    <v t="i">176</v>
    <v t="i">177</v>
    <v t="i">180</v>
    <v t="i">181</v>
    <v t="i">182</v>
    <v t="i">183</v>
    <v t="i">187</v>
    <v t="i">188</v>
    <v t="i">189</v>
    <v t="i">190</v>
    <v t="i">191</v>
    <v t="i">194</v>
    <v t="i">195</v>
    <v t="i">196</v>
    <v t="i">197</v>
    <v t="i">198</v>
    <v t="i">201</v>
    <v t="i">202</v>
    <v t="i">203</v>
    <v t="i">204</v>
    <v t="i">205</v>
    <v t="i">208</v>
    <v t="i">209</v>
    <v t="i">210</v>
    <v t="i">211</v>
    <v t="i">212</v>
    <v t="i">215</v>
    <v t="i">216</v>
    <v t="i">217</v>
    <v t="i">218</v>
    <v t="i">219</v>
    <v t="i">222</v>
    <v t="i">223</v>
    <v t="i">224</v>
    <v t="i">225</v>
    <v t="i">226</v>
    <v t="i">229</v>
    <v t="i">230</v>
    <v t="i">231</v>
    <v t="i">232</v>
    <v t="i">233</v>
    <v t="i">236</v>
    <v t="i">237</v>
    <v t="i">238</v>
    <v t="i">239</v>
    <v t="i">240</v>
    <v t="i">244</v>
    <v t="i">245</v>
    <v t="i">246</v>
    <v t="i">247</v>
    <v t="i">250</v>
    <v t="i">251</v>
    <v t="i">252</v>
    <v t="i">253</v>
    <v t="i">254</v>
    <v t="i">257</v>
    <v t="i">258</v>
    <v t="i">259</v>
    <v t="i">260</v>
    <v t="i">261</v>
    <v t="i">264</v>
    <v t="i">265</v>
    <v t="i">266</v>
    <v t="i">267</v>
    <v t="i">268</v>
    <v t="i">271</v>
    <v t="i">272</v>
    <v t="i">273</v>
    <v t="i">274</v>
    <v t="i">275</v>
    <v t="i">278</v>
    <v t="i">279</v>
    <v t="i">280</v>
    <v t="i">281</v>
    <v t="i">282</v>
    <v t="i">285</v>
    <v t="i">286</v>
    <v t="i">287</v>
    <v t="i">288</v>
    <v t="i">289</v>
    <v t="i">292</v>
    <v t="i">293</v>
    <v t="i">294</v>
    <v t="i">295</v>
    <v t="i">296</v>
    <v t="i">299</v>
    <v t="i">300</v>
    <v t="i">301</v>
    <v t="i">302</v>
    <v t="i">303</v>
    <v t="i">306</v>
    <v t="i">307</v>
    <v t="i">308</v>
    <v t="i">309</v>
    <v t="i">310</v>
    <v t="i">313</v>
    <v t="i">314</v>
  </a>
  <a r="1" c="216">
    <v>61.84</v>
    <v>61.75</v>
    <v>60.81</v>
    <v>60.84</v>
    <v>61.71</v>
    <v>61.07</v>
    <v>61.65</v>
    <v>62.04</v>
    <v>61.77</v>
    <v>62.25</v>
    <v>62.71</v>
    <v>62.42</v>
    <v>61.78</v>
    <v>61.53</v>
    <v>61.92</v>
    <v>63.87</v>
    <v>62.36</v>
    <v>62.83</v>
    <v>64.05</v>
    <v>63.48</v>
    <v>63.35</v>
    <v>62.67</v>
    <v>63.12</v>
    <v>63.36</v>
    <v>63.84</v>
    <v>64.55</v>
    <v>67.599999999999994</v>
    <v>68.709999999999994</v>
    <v>69.5</v>
    <v>68.87</v>
    <v>69.05</v>
    <v>70.069999999999993</v>
    <v>70.040000000000006</v>
    <v>71.349999999999994</v>
    <v>70.59</v>
    <v>71.489999999999995</v>
    <v>70.8</v>
    <v>70.87</v>
    <v>71.209999999999994</v>
    <v>72.319999999999993</v>
    <v>70.19</v>
    <v>70.08</v>
    <v>70.459999999999994</v>
    <v>71.430000000000007</v>
    <v>71.45</v>
    <v>71.040000000000006</v>
    <v>69.94</v>
    <v>69.62</v>
    <v>69.16</v>
    <v>70.12</v>
    <v>69.38</v>
    <v>69.28</v>
    <v>69.709999999999994</v>
    <v>68.67</v>
    <v>68.95</v>
    <v>68.81</v>
    <v>70.02</v>
    <v>70.739999999999995</v>
    <v>70.37</v>
    <v>71.62</v>
    <v>71.87</v>
    <v>71.33</v>
    <v>73.180000000000007</v>
    <v>69.930000000000007</v>
    <v>68.37</v>
    <v>68.42</v>
    <v>69.95</v>
    <v>70.760000000000005</v>
    <v>71.430000000000007</v>
    <v>72.45</v>
    <v>71.86</v>
    <v>71.680000000000007</v>
    <v>73</v>
    <v>72.77</v>
    <v>73.900000000000006</v>
    <v>73.3</v>
    <v>72.52</v>
    <v>71.91</v>
    <v>71.790000000000006</v>
    <v>72.349999999999994</v>
    <v>72.55</v>
    <v>71.290000000000006</v>
    <v>71.650000000000006</v>
    <v>71.7</v>
    <v>71.72</v>
    <v>72.400000000000006</v>
    <v>71.17</v>
    <v>70.52</v>
    <v>69.53</v>
    <v>68.959999999999994</v>
    <v>69.16</v>
    <v>71.61</v>
    <v>72</v>
    <v>71.930000000000007</v>
    <v>71.69</v>
    <v>71.849999999999994</v>
    <v>71.14</v>
    <v>71.77</v>
    <v>71.78</v>
    <v>71.150000000000006</v>
    <v>71.489999999999995</v>
    <v>72.099999999999994</v>
    <v>72</v>
    <v>71.16</v>
    <v>71.37</v>
    <v>70.91</v>
    <v>71.349999999999994</v>
    <v>71.77</v>
    <v>72.349999999999994</v>
    <v>72.069999999999993</v>
    <v>72.239999999999995</v>
    <v>71.02</v>
    <v>70.52</v>
    <v>69.62</v>
    <v>69.209999999999994</v>
    <v>68.84</v>
    <v>69.739999999999995</v>
    <v>70.209999999999994</v>
    <v>69.63</v>
    <v>69.47</v>
    <v>70.33</v>
    <v>70.75</v>
    <v>71.67</v>
    <v>70.91</v>
    <v>71.349999999999994</v>
    <v>71.010000000000005</v>
    <v>70.239999999999995</v>
    <v>69.48</v>
    <v>69.77</v>
    <v>69.87</v>
    <v>69.47</v>
    <v>69.36</v>
    <v>69.27</v>
    <v>70.59</v>
    <v>69.849999999999994</v>
    <v>70.069999999999993</v>
    <v>69.66</v>
    <v>69.16</v>
    <v>69.099999999999994</v>
    <v>69.17</v>
    <v>68.09</v>
    <v>69.38</v>
    <v>68.75</v>
    <v>67.89</v>
    <v>68.86</v>
    <v>68.959999999999994</v>
    <v>69.05</v>
    <v>69.510000000000005</v>
    <v>70.430000000000007</v>
    <v>70.34</v>
    <v>70.75</v>
    <v>70.709999999999994</v>
    <v>70.459999999999994</v>
    <v>69.55</v>
    <v>69.92</v>
    <v>69.13</v>
    <v>70.13</v>
    <v>70.7</v>
    <v>70.66</v>
    <v>70.13</v>
    <v>68.930000000000007</v>
    <v>68.73</v>
    <v>68.83</v>
    <v>68.36</v>
    <v>68.989999999999995</v>
    <v>69.06</v>
    <v>68.989999999999995</v>
    <v>68.25</v>
    <v>67.959999999999994</v>
    <v>67.430000000000007</v>
    <v>67.86</v>
    <v>67.819999999999993</v>
    <v>67.62</v>
    <v>67.010000000000005</v>
    <v>66.209999999999994</v>
    <v>66.239999999999995</v>
    <v>67.040000000000006</v>
    <v>66.459999999999994</v>
    <v>66.430000000000007</v>
    <v>66.209999999999994</v>
    <v>66.709999999999994</v>
    <v>66.45</v>
    <v>65.98</v>
    <v>65.67</v>
    <v>66.040000000000006</v>
    <v>66.319999999999993</v>
    <v>66.78</v>
    <v>66.099999999999994</v>
    <v>66.650000000000006</v>
    <v>66.099999999999994</v>
    <v>66.790000000000006</v>
    <v>66.12</v>
    <v>66.37</v>
    <v>67.040000000000006</v>
    <v>66.8</v>
    <v>67.510000000000005</v>
    <v>67.08</v>
    <v>67.59</v>
    <v>68.44</v>
    <v>68.44</v>
    <v>71.22</v>
    <v>70.81</v>
    <v>69.94</v>
    <v>69.709999999999994</v>
    <v>70.06</v>
    <v>70.16</v>
    <v>68.349999999999994</v>
    <v>68.98</v>
    <v>68.900000000000006</v>
    <v>67.97</v>
    <v>68.66</v>
    <v>68.510000000000005</v>
    <v>69.06</v>
    <v>70.55</v>
    <v>70.52</v>
    <v>71.61</v>
  </a>
  <a r="1" c="216">
    <v>62.35</v>
    <v>61.9</v>
    <v>61.5</v>
    <v>61.11</v>
    <v>60.99</v>
    <v>61.58</v>
    <v>61.13</v>
    <v>61.655000000000001</v>
    <v>62.33</v>
    <v>61.42</v>
    <v>62.31</v>
    <v>62.9</v>
    <v>62.12</v>
    <v>61.8</v>
    <v>61.72</v>
    <v>62.87</v>
    <v>63.51</v>
    <v>62.56</v>
    <v>63.85</v>
    <v>63.7</v>
    <v>63.18</v>
    <v>63.61</v>
    <v>62.72</v>
    <v>63.62</v>
    <v>63.43</v>
    <v>64.099999999999994</v>
    <v>67.5</v>
    <v>66.87</v>
    <v>69</v>
    <v>69.364999999999995</v>
    <v>68.55</v>
    <v>69.209999999999994</v>
    <v>69.709999999999994</v>
    <v>70.319999999999993</v>
    <v>70.84</v>
    <v>70.86</v>
    <v>71.27</v>
    <v>70.72</v>
    <v>71.45</v>
    <v>70.239999999999995</v>
    <v>72.069999999999993</v>
    <v>69.900000000000006</v>
    <v>70.41</v>
    <v>69.650000000000006</v>
    <v>71.959999999999994</v>
    <v>71.875</v>
    <v>70.37</v>
    <v>70.25</v>
    <v>68.510000000000005</v>
    <v>69.239999999999995</v>
    <v>70.11</v>
    <v>68.55</v>
    <v>69.305000000000007</v>
    <v>69.709999999999994</v>
    <v>68.8</v>
    <v>68.95</v>
    <v>68.92</v>
    <v>70.180000000000007</v>
    <v>70.81</v>
    <v>70.73</v>
    <v>71.680000000000007</v>
    <v>71.959999999999994</v>
    <v>72.48</v>
    <v>72.42</v>
    <v>66.23</v>
    <v>68.959999999999994</v>
    <v>67.92</v>
    <v>70.19</v>
    <v>70.905000000000001</v>
    <v>71.3</v>
    <v>72.62</v>
    <v>72.36</v>
    <v>71.900000000000006</v>
    <v>73.38</v>
    <v>73</v>
    <v>73.290000000000006</v>
    <v>73.02</v>
    <v>72.650000000000006</v>
    <v>72.075000000000003</v>
    <v>71.19</v>
    <v>73.349999999999994</v>
    <v>72</v>
    <v>71.5</v>
    <v>71.67</v>
    <v>71.674999999999997</v>
    <v>71.72</v>
    <v>72.2</v>
    <v>70.989999999999995</v>
    <v>70.144999999999996</v>
    <v>69.59</v>
    <v>68.88</v>
    <v>69.7</v>
    <v>71.86</v>
    <v>72.03</v>
    <v>71.8</v>
    <v>71.69</v>
    <v>71.84</v>
    <v>71.540000000000006</v>
    <v>71.739999999999995</v>
    <v>71.7</v>
    <v>71</v>
    <v>71.605000000000004</v>
    <v>72.025000000000006</v>
    <v>71.709999999999994</v>
    <v>71.260000000000005</v>
    <v>71.38</v>
    <v>71.084999999999994</v>
    <v>71.349999999999994</v>
    <v>71.900000000000006</v>
    <v>72.265000000000001</v>
    <v>72.25</v>
    <v>71.77</v>
    <v>71.2</v>
    <v>70.38</v>
    <v>70</v>
    <v>69.09</v>
    <v>69.14</v>
    <v>69.944999999999993</v>
    <v>69.924999999999997</v>
    <v>69.7</v>
    <v>69.59</v>
    <v>70.125</v>
    <v>70.989999999999995</v>
    <v>71.69</v>
    <v>71.040000000000006</v>
    <v>71.37</v>
    <v>70.680000000000007</v>
    <v>70.16</v>
    <v>69.290000000000006</v>
    <v>69.564999999999998</v>
    <v>69.8</v>
    <v>69.510000000000005</v>
    <v>69.349999999999994</v>
    <v>69.81</v>
    <v>70.444999999999993</v>
    <v>70.194999999999993</v>
    <v>69.45</v>
    <v>69.66</v>
    <v>69.254999999999995</v>
    <v>69.13</v>
    <v>68.739999999999995</v>
    <v>68.34</v>
    <v>69.11</v>
    <v>68.150000000000006</v>
    <v>68.594999999999999</v>
    <v>68.715000000000003</v>
    <v>68.900000000000006</v>
    <v>69.12</v>
    <v>69.459999999999994</v>
    <v>70.364999999999995</v>
    <v>70.3</v>
    <v>70.814999999999998</v>
    <v>70.69</v>
    <v>70.38</v>
    <v>69.739999999999995</v>
    <v>69.98</v>
    <v>69.3</v>
    <v>70.739999999999995</v>
    <v>70.599999999999994</v>
    <v>70.959999999999994</v>
    <v>70.11</v>
    <v>69.040000000000006</v>
    <v>68.819999999999993</v>
    <v>68.88</v>
    <v>68.67</v>
    <v>68.959999999999994</v>
    <v>68.66</v>
    <v>69.11</v>
    <v>68.010000000000005</v>
    <v>67.855000000000004</v>
    <v>67.28</v>
    <v>67.790000000000006</v>
    <v>67.92</v>
    <v>67.599999999999994</v>
    <v>66.680000000000007</v>
    <v>66.349999999999994</v>
    <v>66.405000000000001</v>
    <v>66.8</v>
    <v>66.489999999999995</v>
    <v>66.16</v>
    <v>66.349999999999994</v>
    <v>66.405000000000001</v>
    <v>66.75</v>
    <v>66.069999999999993</v>
    <v>65.67</v>
    <v>66.069999999999993</v>
    <v>66.504999999999995</v>
    <v>66.525000000000006</v>
    <v>66.099999999999994</v>
    <v>66.489999999999995</v>
    <v>66.224999999999994</v>
    <v>66.665000000000006</v>
    <v>66.290000000000006</v>
    <v>66.52</v>
    <v>66.23</v>
    <v>66.87</v>
    <v>67.265000000000001</v>
    <v>67.174999999999997</v>
    <v>68</v>
    <v>68.424999999999997</v>
    <v>70.564999999999998</v>
    <v>71.36</v>
    <v>70.81</v>
    <v>69.91</v>
    <v>69.78</v>
    <v>70.045000000000002</v>
    <v>69.92</v>
    <v>68.45</v>
    <v>68.545000000000002</v>
    <v>68.8</v>
    <v>68.47</v>
    <v>68.66</v>
    <v>68.3</v>
    <v>69.81</v>
    <v>70.010000000000005</v>
    <v>70.98</v>
  </a>
  <a r="1" c="216">
    <v>62.75</v>
    <v>62.075000000000003</v>
    <v>61.564999999999998</v>
    <v>61.717500000000001</v>
    <v>61.77</v>
    <v>61.65</v>
    <v>61.844999999999999</v>
    <v>62.064999999999998</v>
    <v>62.62</v>
    <v>62.3</v>
    <v>62.765000000000001</v>
    <v>63.23</v>
    <v>62.284999999999997</v>
    <v>61.98</v>
    <v>62.01</v>
    <v>64.180000000000007</v>
    <v>64.040000000000006</v>
    <v>63.36</v>
    <v>64.284999999999997</v>
    <v>63.93</v>
    <v>63.629899999999999</v>
    <v>63.63</v>
    <v>63.29</v>
    <v>63.74</v>
    <v>63.92</v>
    <v>64.650000000000006</v>
    <v>67.67</v>
    <v>68.819999999999993</v>
    <v>69.61</v>
    <v>70.03</v>
    <v>69.37</v>
    <v>70.13</v>
    <v>70.069999999999993</v>
    <v>71.599999999999994</v>
    <v>71.73</v>
    <v>71.769900000000007</v>
    <v>71.275000000000006</v>
    <v>71.534999999999997</v>
    <v>71.569999999999993</v>
    <v>72.36</v>
    <v>72.650000000000006</v>
    <v>70.739999999999995</v>
    <v>70.528999999999996</v>
    <v>71.819999999999993</v>
    <v>73.22</v>
    <v>72.040000000000006</v>
    <v>70.73</v>
    <v>70.25</v>
    <v>69.260000000000005</v>
    <v>70.17</v>
    <v>70.19</v>
    <v>69.38</v>
    <v>69.81</v>
    <v>69.97</v>
    <v>69.08</v>
    <v>69.08</v>
    <v>70.349999999999994</v>
    <v>70.984999999999999</v>
    <v>71.314999999999998</v>
    <v>71.9375</v>
    <v>71.91</v>
    <v>72.36</v>
    <v>73.95</v>
    <v>73.010000000000005</v>
    <v>69.38</v>
    <v>69.981499999999997</v>
    <v>70.47</v>
    <v>71.204999999999998</v>
    <v>71.849999999999994</v>
    <v>72.66</v>
    <v>72.63</v>
    <v>72.665000000000006</v>
    <v>73.424999999999997</v>
    <v>73.472300000000004</v>
    <v>74.38</v>
    <v>73.95</v>
    <v>73.424999999999997</v>
    <v>72.92</v>
    <v>72.260000000000005</v>
    <v>72.709999999999994</v>
    <v>73.48</v>
    <v>72.040000000000006</v>
    <v>71.814999999999998</v>
    <v>71.8</v>
    <v>71.900000000000006</v>
    <v>72.685000000000002</v>
    <v>72.47</v>
    <v>71.150000000000006</v>
    <v>70.33</v>
    <v>69.69</v>
    <v>69.34</v>
    <v>71.73</v>
    <v>72.260000000000005</v>
    <v>72.17</v>
    <v>72.13</v>
    <v>72.08</v>
    <v>71.984999999999999</v>
    <v>71.98</v>
    <v>72.22</v>
    <v>71.900000000000006</v>
    <v>71.66</v>
    <v>72.47</v>
    <v>72.040000000000006</v>
    <v>71.78</v>
    <v>71.844999999999999</v>
    <v>71.454999999999998</v>
    <v>71.48</v>
    <v>71.83</v>
    <v>72.685000000000002</v>
    <v>72.36</v>
    <v>72.399900000000002</v>
    <v>71.88</v>
    <v>71.62</v>
    <v>70.459999999999994</v>
    <v>70</v>
    <v>69.555400000000006</v>
    <v>69.81</v>
    <v>70.349999999999994</v>
    <v>70.02</v>
    <v>69.92</v>
    <v>70.56</v>
    <v>70.790000000000006</v>
    <v>72.45</v>
    <v>71.825000000000003</v>
    <v>71.394999999999996</v>
    <v>71.37</v>
    <v>70.680000000000007</v>
    <v>70.25</v>
    <v>69.844999999999999</v>
    <v>70.155000000000001</v>
    <v>70.08</v>
    <v>69.55</v>
    <v>69.5</v>
    <v>70.685000000000002</v>
    <v>70.7</v>
    <v>70.62</v>
    <v>70.259200000000007</v>
    <v>69.739999999999995</v>
    <v>69.55</v>
    <v>69.23</v>
    <v>68.900000000000006</v>
    <v>69.42</v>
    <v>69.33</v>
    <v>68.650000000000006</v>
    <v>69.040000000000006</v>
    <v>69.084999999999994</v>
    <v>69.484999999999999</v>
    <v>69.8</v>
    <v>70.715000000000003</v>
    <v>70.870999999999995</v>
    <v>70.86</v>
    <v>71.06</v>
    <v>70.77</v>
    <v>70.459999999999994</v>
    <v>70.385000000000005</v>
    <v>70.05</v>
    <v>70.22</v>
    <v>71.704999999999998</v>
    <v>70.905000000000001</v>
    <v>71.02</v>
    <v>70.23</v>
    <v>69.08</v>
    <v>68.87</v>
    <v>68.900000000000006</v>
    <v>69.14</v>
    <v>69.34</v>
    <v>69.094999999999999</v>
    <v>69.459999999999994</v>
    <v>68.58</v>
    <v>67.88</v>
    <v>68.105000000000004</v>
    <v>68.085400000000007</v>
    <v>68.165000000000006</v>
    <v>67.715000000000003</v>
    <v>66.78</v>
    <v>66.510000000000005</v>
    <v>67.13</v>
    <v>67.034999999999997</v>
    <v>66.73</v>
    <v>66.59</v>
    <v>66.760000000000005</v>
    <v>66.78</v>
    <v>66.92</v>
    <v>66.334999999999994</v>
    <v>66.099999999999994</v>
    <v>66.64</v>
    <v>66.83</v>
    <v>66.650000000000006</v>
    <v>66.984999999999999</v>
    <v>66.5</v>
    <v>67.260000000000005</v>
    <v>66.87</v>
    <v>66.8</v>
    <v>67.394999999999996</v>
    <v>66.8</v>
    <v>67.569999999999993</v>
    <v>67.72</v>
    <v>68.105000000000004</v>
    <v>68.495000000000005</v>
    <v>68.64</v>
    <v>71.39</v>
    <v>71.614999999999995</v>
    <v>70.928700000000006</v>
    <v>70.05</v>
    <v>70.114999999999995</v>
    <v>70.900000000000006</v>
    <v>70.03</v>
    <v>69.290000000000006</v>
    <v>69.069999999999993</v>
    <v>68.89</v>
    <v>68.73</v>
    <v>68.83</v>
    <v>69.135000000000005</v>
    <v>70.87</v>
    <v>70.66</v>
    <v>71.75</v>
  </a>
  <a r="1" c="216">
    <v>61.62</v>
    <v>61.62</v>
    <v>60.66</v>
    <v>60.615000000000002</v>
    <v>60.93</v>
    <v>60.73</v>
    <v>60.71</v>
    <v>61.3</v>
    <v>61.68</v>
    <v>61.32</v>
    <v>62.17</v>
    <v>62.3</v>
    <v>61.66</v>
    <v>61.37</v>
    <v>61.435000000000002</v>
    <v>62.472999999999999</v>
    <v>62.28</v>
    <v>62.55</v>
    <v>63.23</v>
    <v>63.39</v>
    <v>62.43</v>
    <v>62.35</v>
    <v>62.585000000000001</v>
    <v>62.91</v>
    <v>63.27</v>
    <v>63.66</v>
    <v>66.41</v>
    <v>66.87</v>
    <v>68.762</v>
    <v>68.760000000000005</v>
    <v>68.42</v>
    <v>69.17</v>
    <v>69.42</v>
    <v>70.13</v>
    <v>70.33</v>
    <v>70.73</v>
    <v>70.525000000000006</v>
    <v>70.42</v>
    <v>70.56</v>
    <v>69.73</v>
    <v>69.88</v>
    <v>69.84</v>
    <v>69.45</v>
    <v>69.650000000000006</v>
    <v>71.314999999999998</v>
    <v>70.61</v>
    <v>69.739999999999995</v>
    <v>69.281000000000006</v>
    <v>68.380300000000005</v>
    <v>69.08</v>
    <v>69.3</v>
    <v>68.540000000000006</v>
    <v>69.09</v>
    <v>68.180000000000007</v>
    <v>68.33</v>
    <v>68.599999999999994</v>
    <v>68.900000000000006</v>
    <v>70.069999999999993</v>
    <v>69.53</v>
    <v>70.489999999999995</v>
    <v>71.185000000000002</v>
    <v>71.05</v>
    <v>72.319999999999993</v>
    <v>69.790000000000006</v>
    <v>66.05</v>
    <v>67.760000000000005</v>
    <v>67.28</v>
    <v>68.98</v>
    <v>70.540000000000006</v>
    <v>70.930000000000007</v>
    <v>71.724999999999994</v>
    <v>71.385000000000005</v>
    <v>71.72</v>
    <v>71.819999999999993</v>
    <v>72.92</v>
    <v>72.38</v>
    <v>72.3</v>
    <v>71.125</v>
    <v>71.31</v>
    <v>70.28</v>
    <v>71.685000000000002</v>
    <v>71.23</v>
    <v>71.094999999999999</v>
    <v>71.010000000000005</v>
    <v>71.16</v>
    <v>71.67</v>
    <v>71.13</v>
    <v>70.459999999999994</v>
    <v>68.7</v>
    <v>68.87</v>
    <v>68.58</v>
    <v>69.599999999999994</v>
    <v>71.430000000000007</v>
    <v>71.64</v>
    <v>71.430000000000007</v>
    <v>71.584999999999994</v>
    <v>70.959999999999994</v>
    <v>70.685000000000002</v>
    <v>71.56</v>
    <v>71.05</v>
    <v>70.459999999999994</v>
    <v>71.605000000000004</v>
    <v>71.36</v>
    <v>70.474999999999994</v>
    <v>70.680000000000007</v>
    <v>70.834999999999994</v>
    <v>70.944800000000001</v>
    <v>71.09</v>
    <v>71.760000000000005</v>
    <v>71.760000000000005</v>
    <v>71.599999999999994</v>
    <v>70.73</v>
    <v>70.239999999999995</v>
    <v>69.58</v>
    <v>69.09</v>
    <v>68.78</v>
    <v>68.97</v>
    <v>69.685000000000002</v>
    <v>69.430000000000007</v>
    <v>69.144999999999996</v>
    <v>69.47</v>
    <v>70.09</v>
    <v>70.900000000000006</v>
    <v>70.734999999999999</v>
    <v>70.45</v>
    <v>70.8</v>
    <v>69.88</v>
    <v>68.97</v>
    <v>69.16</v>
    <v>69.25</v>
    <v>69.271900000000002</v>
    <v>69.150000000000006</v>
    <v>68.790000000000006</v>
    <v>69.510000000000005</v>
    <v>69.834999999999994</v>
    <v>69.930000000000007</v>
    <v>68.69</v>
    <v>68.599999999999994</v>
    <v>68.989999999999995</v>
    <v>68.75</v>
    <v>68.06</v>
    <v>68.150000000000006</v>
    <v>68.525000000000006</v>
    <v>67.739999999999995</v>
    <v>68.27</v>
    <v>68.31</v>
    <v>68.75</v>
    <v>68.63</v>
    <v>69.33</v>
    <v>70.08</v>
    <v>69.959999999999994</v>
    <v>70.22</v>
    <v>70.23</v>
    <v>69.39</v>
    <v>69.569999999999993</v>
    <v>69.05</v>
    <v>69.239999999999995</v>
    <v>70.405000000000001</v>
    <v>70.33</v>
    <v>69.92</v>
    <v>68.715000000000003</v>
    <v>68.575000000000003</v>
    <v>68.465000000000003</v>
    <v>68.28</v>
    <v>68.424999999999997</v>
    <v>68.254999999999995</v>
    <v>67.37</v>
    <v>68.114999999999995</v>
    <v>67.87</v>
    <v>67.16</v>
    <v>67.28</v>
    <v>67.209999999999994</v>
    <v>67.58</v>
    <v>66.935000000000002</v>
    <v>66.099999999999994</v>
    <v>66.055000000000007</v>
    <v>66.405000000000001</v>
    <v>66.349999999999994</v>
    <v>66.045000000000002</v>
    <v>66.08</v>
    <v>65.900000000000006</v>
    <v>65.959999999999994</v>
    <v>65.95</v>
    <v>65.5</v>
    <v>65.353800000000007</v>
    <v>65.960099999999997</v>
    <v>66.290000000000006</v>
    <v>65.86</v>
    <v>66.040000000000006</v>
    <v>65.84</v>
    <v>65.87</v>
    <v>66.06</v>
    <v>66.12</v>
    <v>66.375</v>
    <v>66</v>
    <v>66.745000000000005</v>
    <v>66.92</v>
    <v>67.16</v>
    <v>67.8</v>
    <v>67.92</v>
    <v>70.23</v>
    <v>70.510000000000005</v>
    <v>69.72</v>
    <v>69.644999999999996</v>
    <v>69.25</v>
    <v>69.95</v>
    <v>68.155000000000001</v>
    <v>68.387200000000007</v>
    <v>67.900099999999995</v>
    <v>67.66</v>
    <v>68.16</v>
    <v>68.174999999999997</v>
    <v>67.92</v>
    <v>69.41</v>
    <v>69.44</v>
    <v>70.66</v>
  </a>
  <a r="1" c="216">
    <v>12990975</v>
    <v>10403204</v>
    <v>17924237</v>
    <v>17799629</v>
    <v>14412397</v>
    <v>22424951</v>
    <v>18016173</v>
    <v>16658287</v>
    <v>16187203</v>
    <v>12585528</v>
    <v>17948868</v>
    <v>19817068</v>
    <v>18191886</v>
    <v>16528423</v>
    <v>19244604</v>
    <v>20742915</v>
    <v>14956031</v>
    <v>11325635</v>
    <v>13200977</v>
    <v>12102060</v>
    <v>12067883</v>
    <v>15677998</v>
    <v>10686754</v>
    <v>13423408</v>
    <v>13184674</v>
    <v>16154300</v>
    <v>30589148</v>
    <v>26033764</v>
    <v>24393148</v>
    <v>20779090</v>
    <v>15569122</v>
    <v>16032270</v>
    <v>13398010</v>
    <v>21662252</v>
    <v>21418442</v>
    <v>21555588</v>
    <v>14531175</v>
    <v>16789476</v>
    <v>22167379</v>
    <v>21717603</v>
    <v>25411858</v>
    <v>23933629</v>
    <v>21694031</v>
    <v>28393261</v>
    <v>25251189</v>
    <v>28076440</v>
    <v>18923301</v>
    <v>15746568</v>
    <v>14205091</v>
    <v>15634808</v>
    <v>12657615</v>
    <v>14780007</v>
    <v>16295263</v>
    <v>47479473</v>
    <v>12575412</v>
    <v>12513897</v>
    <v>14482764</v>
    <v>11663365</v>
    <v>17412915</v>
    <v>24016866</v>
    <v>15309146</v>
    <v>14606519</v>
    <v>24959593</v>
    <v>26517289</v>
    <v>34258363</v>
    <v>22774425</v>
    <v>27918675</v>
    <v>22450163</v>
    <v>19988203</v>
    <v>13930207</v>
    <v>14965492</v>
    <v>15276216</v>
    <v>20754495</v>
    <v>16037190</v>
    <v>15613518</v>
    <v>16353927</v>
    <v>16893861</v>
    <v>16315984</v>
    <v>15997495</v>
    <v>16244057</v>
    <v>21074652</v>
    <v>18034163</v>
    <v>12629593</v>
    <v>11932687</v>
    <v>12705475</v>
    <v>15025786</v>
    <v>14371061</v>
    <v>11228947</v>
    <v>21539013</v>
    <v>14389053</v>
    <v>16286799</v>
    <v>19817096</v>
    <v>18441200</v>
    <v>13282775</v>
    <v>12137798</v>
    <v>12094424</v>
    <v>11101798</v>
    <v>12822145</v>
    <v>10666102</v>
    <v>8710896</v>
    <v>10294095</v>
    <v>28019547</v>
    <v>10202737</v>
    <v>20139767</v>
    <v>13565891</v>
    <v>13535619</v>
    <v>9524036</v>
    <v>12281339</v>
    <v>12264972</v>
    <v>12718510</v>
    <v>12806911</v>
    <v>17467162</v>
    <v>15045880</v>
    <v>15437032</v>
    <v>16227582</v>
    <v>40859425</v>
    <v>21822773</v>
    <v>15216084</v>
    <v>12540374</v>
    <v>14454090</v>
    <v>23470691</v>
    <v>15428966</v>
    <v>21729276</v>
    <v>13050239</v>
    <v>9440457</v>
    <v>16984675</v>
    <v>17115521</v>
    <v>33704119</v>
    <v>14615046</v>
    <v>12916670</v>
    <v>13983246</v>
    <v>12639808</v>
    <v>13178292</v>
    <v>20464657</v>
    <v>14927950</v>
    <v>17811719</v>
    <v>22339884</v>
    <v>21029993</v>
    <v>12511367</v>
    <v>12574823</v>
    <v>13668798</v>
    <v>16223379</v>
    <v>10448179</v>
    <v>17193418</v>
    <v>16107506</v>
    <v>10701525</v>
    <v>11993391</v>
    <v>10782977</v>
    <v>15790802</v>
    <v>9232651</v>
    <v>10909371</v>
    <v>11065044</v>
    <v>10356518</v>
    <v>10722373</v>
    <v>12381112</v>
    <v>14094881</v>
    <v>13862214</v>
    <v>17530847</v>
    <v>8840427</v>
    <v>12999606</v>
    <v>13634562</v>
    <v>17964231</v>
    <v>11562741</v>
    <v>16209870</v>
    <v>14601094</v>
    <v>24770073</v>
    <v>33581491</v>
    <v>16736009</v>
    <v>23977995</v>
    <v>21671747</v>
    <v>14120570</v>
    <v>16041934</v>
    <v>15128731</v>
    <v>18712351</v>
    <v>15986132</v>
    <v>18555912</v>
    <v>17372334</v>
    <v>17722919</v>
    <v>31192851</v>
    <v>13298742</v>
    <v>15072791</v>
    <v>14759294</v>
    <v>14395010</v>
    <v>17821566</v>
    <v>14818531</v>
    <v>13814992</v>
    <v>14877538</v>
    <v>14350722</v>
    <v>12249240</v>
    <v>14333320</v>
    <v>13328270</v>
    <v>12606677</v>
    <v>12705190</v>
    <v>17991744</v>
    <v>13690029</v>
    <v>14245564</v>
    <v>11193715</v>
    <v>15707226</v>
    <v>15541769</v>
    <v>17786778</v>
    <v>33651302</v>
    <v>18292950</v>
    <v>13989414</v>
    <v>15688202</v>
    <v>13800049</v>
    <v>12730493</v>
    <v>19789610</v>
    <v>14751735</v>
    <v>16742681</v>
    <v>15660354</v>
    <v>12743781</v>
    <v>12850125</v>
    <v>15906651</v>
    <v>25108308</v>
    <v>15317986</v>
    <v>16160212</v>
  </a>
</arrayData>
</file>

<file path=xl/richData/rdrichvalue.xml><?xml version="1.0" encoding="utf-8"?>
<rvData xmlns="http://schemas.microsoft.com/office/spreadsheetml/2017/richdata" count="1040">
  <rv s="0">
    <fb>45659</fb>
    <v>0</v>
  </rv>
  <rv s="0">
    <fb>61.84</fb>
    <v>1</v>
  </rv>
  <rv s="0">
    <fb>62.35</fb>
    <v>1</v>
  </rv>
  <rv s="0">
    <fb>62.75</fb>
    <v>1</v>
  </rv>
  <rv s="0">
    <fb>61.62</fb>
    <v>1</v>
  </rv>
  <rv s="0">
    <fb>12990975</fb>
    <v>2</v>
  </rv>
  <rv s="0">
    <fb>45660</fb>
    <v>0</v>
  </rv>
  <rv s="0">
    <fb>61.75</fb>
    <v>1</v>
  </rv>
  <rv s="0">
    <fb>61.9</fb>
    <v>1</v>
  </rv>
  <rv s="0">
    <fb>62.075000000000003</fb>
    <v>1</v>
  </rv>
  <rv s="0">
    <fb>10403204</fb>
    <v>2</v>
  </rv>
  <rv s="0">
    <fb>45663</fb>
    <v>0</v>
  </rv>
  <rv s="0">
    <fb>60.81</fb>
    <v>1</v>
  </rv>
  <rv s="0">
    <fb>61.5</fb>
    <v>1</v>
  </rv>
  <rv s="0">
    <fb>61.564999999999998</fb>
    <v>1</v>
  </rv>
  <rv s="0">
    <fb>60.66</fb>
    <v>1</v>
  </rv>
  <rv s="0">
    <fb>17924237</fb>
    <v>2</v>
  </rv>
  <rv s="0">
    <fb>45664</fb>
    <v>0</v>
  </rv>
  <rv s="0">
    <fb>60.84</fb>
    <v>1</v>
  </rv>
  <rv s="0">
    <fb>61.11</fb>
    <v>1</v>
  </rv>
  <rv s="0">
    <fb>61.717500000000001</fb>
    <v>1</v>
  </rv>
  <rv s="0">
    <fb>60.615000000000002</fb>
    <v>1</v>
  </rv>
  <rv s="0">
    <fb>17799629</fb>
    <v>2</v>
  </rv>
  <rv s="0">
    <fb>45665</fb>
    <v>0</v>
  </rv>
  <rv s="0">
    <fb>61.71</fb>
    <v>1</v>
  </rv>
  <rv s="0">
    <fb>60.99</fb>
    <v>1</v>
  </rv>
  <rv s="0">
    <fb>61.77</fb>
    <v>1</v>
  </rv>
  <rv s="0">
    <fb>60.93</fb>
    <v>1</v>
  </rv>
  <rv s="0">
    <fb>14412397</fb>
    <v>2</v>
  </rv>
  <rv s="0">
    <fb>45667</fb>
    <v>0</v>
  </rv>
  <rv s="0">
    <fb>61.07</fb>
    <v>1</v>
  </rv>
  <rv s="0">
    <fb>61.58</fb>
    <v>1</v>
  </rv>
  <rv s="0">
    <fb>61.65</fb>
    <v>1</v>
  </rv>
  <rv s="0">
    <fb>60.73</fb>
    <v>1</v>
  </rv>
  <rv s="0">
    <fb>22424951</fb>
    <v>2</v>
  </rv>
  <rv s="0">
    <fb>45670</fb>
    <v>0</v>
  </rv>
  <rv s="0">
    <fb>61.13</fb>
    <v>1</v>
  </rv>
  <rv s="0">
    <fb>61.844999999999999</fb>
    <v>1</v>
  </rv>
  <rv s="0">
    <fb>60.71</fb>
    <v>1</v>
  </rv>
  <rv s="0">
    <fb>18016173</fb>
    <v>2</v>
  </rv>
  <rv s="0">
    <fb>45671</fb>
    <v>0</v>
  </rv>
  <rv s="0">
    <fb>62.04</fb>
    <v>1</v>
  </rv>
  <rv s="0">
    <fb>61.655000000000001</fb>
    <v>1</v>
  </rv>
  <rv s="0">
    <fb>62.064999999999998</fb>
    <v>1</v>
  </rv>
  <rv s="0">
    <fb>61.3</fb>
    <v>1</v>
  </rv>
  <rv s="0">
    <fb>16658287</fb>
    <v>2</v>
  </rv>
  <rv s="0">
    <fb>45672</fb>
    <v>0</v>
  </rv>
  <rv s="0">
    <fb>62.33</fb>
    <v>1</v>
  </rv>
  <rv s="0">
    <fb>62.62</fb>
    <v>1</v>
  </rv>
  <rv s="0">
    <fb>61.68</fb>
    <v>1</v>
  </rv>
  <rv s="0">
    <fb>16187203</fb>
    <v>2</v>
  </rv>
  <rv s="0">
    <fb>45673</fb>
    <v>0</v>
  </rv>
  <rv s="0">
    <fb>62.25</fb>
    <v>1</v>
  </rv>
  <rv s="0">
    <fb>61.42</fb>
    <v>1</v>
  </rv>
  <rv s="0">
    <fb>62.3</fb>
    <v>1</v>
  </rv>
  <rv s="0">
    <fb>61.32</fb>
    <v>1</v>
  </rv>
  <rv s="0">
    <fb>12585528</fb>
    <v>2</v>
  </rv>
  <rv s="0">
    <fb>45674</fb>
    <v>0</v>
  </rv>
  <rv s="0">
    <fb>62.71</fb>
    <v>1</v>
  </rv>
  <rv s="0">
    <fb>62.31</fb>
    <v>1</v>
  </rv>
  <rv s="0">
    <fb>62.765000000000001</fb>
    <v>1</v>
  </rv>
  <rv s="0">
    <fb>62.17</fb>
    <v>1</v>
  </rv>
  <rv s="0">
    <fb>17948868</fb>
    <v>2</v>
  </rv>
  <rv s="0">
    <fb>45678</fb>
    <v>0</v>
  </rv>
  <rv s="0">
    <fb>62.42</fb>
    <v>1</v>
  </rv>
  <rv s="0">
    <fb>62.9</fb>
    <v>1</v>
  </rv>
  <rv s="0">
    <fb>63.23</fb>
    <v>1</v>
  </rv>
  <rv s="0">
    <fb>19817068</fb>
    <v>2</v>
  </rv>
  <rv s="0">
    <fb>45679</fb>
    <v>0</v>
  </rv>
  <rv s="0">
    <fb>61.78</fb>
    <v>1</v>
  </rv>
  <rv s="0">
    <fb>62.12</fb>
    <v>1</v>
  </rv>
  <rv s="0">
    <fb>62.284999999999997</fb>
    <v>1</v>
  </rv>
  <rv s="0">
    <fb>61.66</fb>
    <v>1</v>
  </rv>
  <rv s="0">
    <fb>18191886</fb>
    <v>2</v>
  </rv>
  <rv s="0">
    <fb>45680</fb>
    <v>0</v>
  </rv>
  <rv s="0">
    <fb>61.53</fb>
    <v>1</v>
  </rv>
  <rv s="0">
    <fb>61.8</fb>
    <v>1</v>
  </rv>
  <rv s="0">
    <fb>61.98</fb>
    <v>1</v>
  </rv>
  <rv s="0">
    <fb>61.37</fb>
    <v>1</v>
  </rv>
  <rv s="0">
    <fb>16528423</fb>
    <v>2</v>
  </rv>
  <rv s="0">
    <fb>45681</fb>
    <v>0</v>
  </rv>
  <rv s="0">
    <fb>61.92</fb>
    <v>1</v>
  </rv>
  <rv s="0">
    <fb>61.72</fb>
    <v>1</v>
  </rv>
  <rv s="0">
    <fb>62.01</fb>
    <v>1</v>
  </rv>
  <rv s="0">
    <fb>61.435000000000002</fb>
    <v>1</v>
  </rv>
  <rv s="0">
    <fb>19244604</fb>
    <v>2</v>
  </rv>
  <rv s="0">
    <fb>45684</fb>
    <v>0</v>
  </rv>
  <rv s="0">
    <fb>63.87</fb>
    <v>1</v>
  </rv>
  <rv s="0">
    <fb>62.87</fb>
    <v>1</v>
  </rv>
  <rv s="0">
    <fb>64.180000000000007</fb>
    <v>1</v>
  </rv>
  <rv s="0">
    <fb>62.472999999999999</fb>
    <v>1</v>
  </rv>
  <rv s="0">
    <fb>20742915</fb>
    <v>2</v>
  </rv>
  <rv s="0">
    <fb>45685</fb>
    <v>0</v>
  </rv>
  <rv s="0">
    <fb>62.36</fb>
    <v>1</v>
  </rv>
  <rv s="0">
    <fb>63.51</fb>
    <v>1</v>
  </rv>
  <rv s="0">
    <fb>64.040000000000006</fb>
    <v>1</v>
  </rv>
  <rv s="0">
    <fb>62.28</fb>
    <v>1</v>
  </rv>
  <rv s="0">
    <fb>14956031</fb>
    <v>2</v>
  </rv>
  <rv s="0">
    <fb>45686</fb>
    <v>0</v>
  </rv>
  <rv s="0">
    <fb>62.83</fb>
    <v>1</v>
  </rv>
  <rv s="0">
    <fb>62.56</fb>
    <v>1</v>
  </rv>
  <rv s="0">
    <fb>63.36</fb>
    <v>1</v>
  </rv>
  <rv s="0">
    <fb>62.55</fb>
    <v>1</v>
  </rv>
  <rv s="0">
    <fb>11325635</fb>
    <v>2</v>
  </rv>
  <rv s="0">
    <fb>45687</fb>
    <v>0</v>
  </rv>
  <rv s="0">
    <fb>64.05</fb>
    <v>1</v>
  </rv>
  <rv s="0">
    <fb>63.85</fb>
    <v>1</v>
  </rv>
  <rv s="0">
    <fb>64.284999999999997</fb>
    <v>1</v>
  </rv>
  <rv s="0">
    <fb>13200977</fb>
    <v>2</v>
  </rv>
  <rv s="0">
    <fb>45688</fb>
    <v>0</v>
  </rv>
  <rv s="0">
    <fb>63.48</fb>
    <v>1</v>
  </rv>
  <rv s="0">
    <fb>63.7</fb>
    <v>1</v>
  </rv>
  <rv s="0">
    <fb>63.93</fb>
    <v>1</v>
  </rv>
  <rv s="0">
    <fb>63.39</fb>
    <v>1</v>
  </rv>
  <rv s="0">
    <fb>12102060</fb>
    <v>2</v>
  </rv>
  <rv s="0">
    <fb>45691</fb>
    <v>0</v>
  </rv>
  <rv s="0">
    <fb>63.35</fb>
    <v>1</v>
  </rv>
  <rv s="0">
    <fb>63.18</fb>
    <v>1</v>
  </rv>
  <rv s="0">
    <fb>63.629899999999999</fb>
    <v>1</v>
  </rv>
  <rv s="0">
    <fb>62.43</fb>
    <v>1</v>
  </rv>
  <rv s="0">
    <fb>12067883</fb>
    <v>2</v>
  </rv>
  <rv s="0">
    <fb>45692</fb>
    <v>0</v>
  </rv>
  <rv s="0">
    <fb>62.67</fb>
    <v>1</v>
  </rv>
  <rv s="0">
    <fb>63.61</fb>
    <v>1</v>
  </rv>
  <rv s="0">
    <fb>63.63</fb>
    <v>1</v>
  </rv>
  <rv s="0">
    <fb>15677998</fb>
    <v>2</v>
  </rv>
  <rv s="0">
    <fb>45693</fb>
    <v>0</v>
  </rv>
  <rv s="0">
    <fb>63.12</fb>
    <v>1</v>
  </rv>
  <rv s="0">
    <fb>62.72</fb>
    <v>1</v>
  </rv>
  <rv s="0">
    <fb>63.29</fb>
    <v>1</v>
  </rv>
  <rv s="0">
    <fb>62.585000000000001</fb>
    <v>1</v>
  </rv>
  <rv s="0">
    <fb>10686754</fb>
    <v>2</v>
  </rv>
  <rv s="0">
    <fb>45694</fb>
    <v>0</v>
  </rv>
  <rv s="0">
    <fb>63.62</fb>
    <v>1</v>
  </rv>
  <rv s="0">
    <fb>63.74</fb>
    <v>1</v>
  </rv>
  <rv s="0">
    <fb>62.91</fb>
    <v>1</v>
  </rv>
  <rv s="0">
    <fb>13423408</fb>
    <v>2</v>
  </rv>
  <rv s="0">
    <fb>45695</fb>
    <v>0</v>
  </rv>
  <rv s="0">
    <fb>63.84</fb>
    <v>1</v>
  </rv>
  <rv s="0">
    <fb>63.43</fb>
    <v>1</v>
  </rv>
  <rv s="0">
    <fb>63.92</fb>
    <v>1</v>
  </rv>
  <rv s="0">
    <fb>63.27</fb>
    <v>1</v>
  </rv>
  <rv s="0">
    <fb>13184674</fb>
    <v>2</v>
  </rv>
  <rv s="0">
    <fb>45698</fb>
    <v>0</v>
  </rv>
  <rv s="0">
    <fb>64.55</fb>
    <v>1</v>
  </rv>
  <rv s="0">
    <fb>64.099999999999994</fb>
    <v>1</v>
  </rv>
  <rv s="0">
    <fb>64.650000000000006</fb>
    <v>1</v>
  </rv>
  <rv s="0">
    <fb>63.66</fb>
    <v>1</v>
  </rv>
  <rv s="0">
    <fb>16154300</fb>
    <v>2</v>
  </rv>
  <rv s="0">
    <fb>45699</fb>
    <v>0</v>
  </rv>
  <rv s="0">
    <fb>67.599999999999994</fb>
    <v>1</v>
  </rv>
  <rv s="0">
    <fb>67.5</fb>
    <v>1</v>
  </rv>
  <rv s="0">
    <fb>67.67</fb>
    <v>1</v>
  </rv>
  <rv s="0">
    <fb>66.41</fb>
    <v>1</v>
  </rv>
  <rv s="0">
    <fb>30589148</fb>
    <v>2</v>
  </rv>
  <rv s="0">
    <fb>45700</fb>
    <v>0</v>
  </rv>
  <rv s="0">
    <fb>68.709999999999994</fb>
    <v>1</v>
  </rv>
  <rv s="0">
    <fb>66.87</fb>
    <v>1</v>
  </rv>
  <rv s="0">
    <fb>68.819999999999993</fb>
    <v>1</v>
  </rv>
  <rv s="0">
    <fb>26033764</fb>
    <v>2</v>
  </rv>
  <rv s="0">
    <fb>45701</fb>
    <v>0</v>
  </rv>
  <rv s="0">
    <fb>69.5</fb>
    <v>1</v>
  </rv>
  <rv s="0">
    <fb>69</fb>
    <v>1</v>
  </rv>
  <rv s="0">
    <fb>69.61</fb>
    <v>1</v>
  </rv>
  <rv s="0">
    <fb>68.762</fb>
    <v>1</v>
  </rv>
  <rv s="0">
    <fb>24393148</fb>
    <v>2</v>
  </rv>
  <rv s="0">
    <fb>45702</fb>
    <v>0</v>
  </rv>
  <rv s="0">
    <fb>68.87</fb>
    <v>1</v>
  </rv>
  <rv s="0">
    <fb>69.364999999999995</fb>
    <v>1</v>
  </rv>
  <rv s="0">
    <fb>70.03</fb>
    <v>1</v>
  </rv>
  <rv s="0">
    <fb>68.760000000000005</fb>
    <v>1</v>
  </rv>
  <rv s="0">
    <fb>20779090</fb>
    <v>2</v>
  </rv>
  <rv s="0">
    <fb>45706</fb>
    <v>0</v>
  </rv>
  <rv s="0">
    <fb>69.05</fb>
    <v>1</v>
  </rv>
  <rv s="0">
    <fb>68.55</fb>
    <v>1</v>
  </rv>
  <rv s="0">
    <fb>69.37</fb>
    <v>1</v>
  </rv>
  <rv s="0">
    <fb>68.42</fb>
    <v>1</v>
  </rv>
  <rv s="0">
    <fb>15569122</fb>
    <v>2</v>
  </rv>
  <rv s="0">
    <fb>45707</fb>
    <v>0</v>
  </rv>
  <rv s="0">
    <fb>70.069999999999993</fb>
    <v>1</v>
  </rv>
  <rv s="0">
    <fb>69.209999999999994</fb>
    <v>1</v>
  </rv>
  <rv s="0">
    <fb>70.13</fb>
    <v>1</v>
  </rv>
  <rv s="0">
    <fb>69.17</fb>
    <v>1</v>
  </rv>
  <rv s="0">
    <fb>16032270</fb>
    <v>2</v>
  </rv>
  <rv s="0">
    <fb>45708</fb>
    <v>0</v>
  </rv>
  <rv s="0">
    <fb>70.040000000000006</fb>
    <v>1</v>
  </rv>
  <rv s="0">
    <fb>69.709999999999994</fb>
    <v>1</v>
  </rv>
  <rv s="0">
    <fb>69.42</fb>
    <v>1</v>
  </rv>
  <rv s="0">
    <fb>13398010</fb>
    <v>2</v>
  </rv>
  <rv s="0">
    <fb>45709</fb>
    <v>0</v>
  </rv>
  <rv s="0">
    <fb>71.349999999999994</fb>
    <v>1</v>
  </rv>
  <rv s="0">
    <fb>70.319999999999993</fb>
    <v>1</v>
  </rv>
  <rv s="0">
    <fb>71.599999999999994</fb>
    <v>1</v>
  </rv>
  <rv s="0">
    <fb>21662252</fb>
    <v>2</v>
  </rv>
  <rv s="0">
    <fb>45712</fb>
    <v>0</v>
  </rv>
  <rv s="0">
    <fb>70.59</fb>
    <v>1</v>
  </rv>
  <rv s="0">
    <fb>70.84</fb>
    <v>1</v>
  </rv>
  <rv s="0">
    <fb>71.73</fb>
    <v>1</v>
  </rv>
  <rv s="0">
    <fb>70.33</fb>
    <v>1</v>
  </rv>
  <rv s="0">
    <fb>21418442</fb>
    <v>2</v>
  </rv>
  <rv s="0">
    <fb>45713</fb>
    <v>0</v>
  </rv>
  <rv s="0">
    <fb>71.489999999999995</fb>
    <v>1</v>
  </rv>
  <rv s="0">
    <fb>70.86</fb>
    <v>1</v>
  </rv>
  <rv s="0">
    <fb>71.769900000000007</fb>
    <v>1</v>
  </rv>
  <rv s="0">
    <fb>70.73</fb>
    <v>1</v>
  </rv>
  <rv s="0">
    <fb>21555588</fb>
    <v>2</v>
  </rv>
  <rv s="0">
    <fb>45714</fb>
    <v>0</v>
  </rv>
  <rv s="0">
    <fb>70.8</fb>
    <v>1</v>
  </rv>
  <rv s="0">
    <fb>71.27</fb>
    <v>1</v>
  </rv>
  <rv s="0">
    <fb>71.275000000000006</fb>
    <v>1</v>
  </rv>
  <rv s="0">
    <fb>70.525000000000006</fb>
    <v>1</v>
  </rv>
  <rv s="0">
    <fb>14531175</fb>
    <v>2</v>
  </rv>
  <rv s="0">
    <fb>45715</fb>
    <v>0</v>
  </rv>
  <rv s="0">
    <fb>70.87</fb>
    <v>1</v>
  </rv>
  <rv s="0">
    <fb>70.72</fb>
    <v>1</v>
  </rv>
  <rv s="0">
    <fb>71.534999999999997</fb>
    <v>1</v>
  </rv>
  <rv s="0">
    <fb>70.42</fb>
    <v>1</v>
  </rv>
  <rv s="0">
    <fb>16789476</fb>
    <v>2</v>
  </rv>
  <rv s="0">
    <fb>45716</fb>
    <v>0</v>
  </rv>
  <rv s="0">
    <fb>71.209999999999994</fb>
    <v>1</v>
  </rv>
  <rv s="0">
    <fb>71.45</fb>
    <v>1</v>
  </rv>
  <rv s="0">
    <fb>71.569999999999993</fb>
    <v>1</v>
  </rv>
  <rv s="0">
    <fb>70.56</fb>
    <v>1</v>
  </rv>
  <rv s="0">
    <fb>22167379</fb>
    <v>2</v>
  </rv>
  <rv s="0">
    <fb>45719</fb>
    <v>0</v>
  </rv>
  <rv s="0">
    <fb>72.319999999999993</fb>
    <v>1</v>
  </rv>
  <rv s="0">
    <fb>70.239999999999995</fb>
    <v>1</v>
  </rv>
  <rv s="0">
    <fb>72.36</fb>
    <v>1</v>
  </rv>
  <rv s="0">
    <fb>69.73</fb>
    <v>1</v>
  </rv>
  <rv s="0">
    <fb>21717603</fb>
    <v>2</v>
  </rv>
  <rv s="0">
    <fb>45720</fb>
    <v>0</v>
  </rv>
  <rv s="0">
    <fb>70.19</fb>
    <v>1</v>
  </rv>
  <rv s="0">
    <fb>72.069999999999993</fb>
    <v>1</v>
  </rv>
  <rv s="0">
    <fb>72.650000000000006</fb>
    <v>1</v>
  </rv>
  <rv s="0">
    <fb>69.88</fb>
    <v>1</v>
  </rv>
  <rv s="0">
    <fb>25411858</fb>
    <v>2</v>
  </rv>
  <rv s="0">
    <fb>45721</fb>
    <v>0</v>
  </rv>
  <rv s="0">
    <fb>70.08</fb>
    <v>1</v>
  </rv>
  <rv s="0">
    <fb>69.900000000000006</fb>
    <v>1</v>
  </rv>
  <rv s="0">
    <fb>70.739999999999995</fb>
    <v>1</v>
  </rv>
  <rv s="0">
    <fb>69.84</fb>
    <v>1</v>
  </rv>
  <rv s="0">
    <fb>23933629</fb>
    <v>2</v>
  </rv>
  <rv s="0">
    <fb>45722</fb>
    <v>0</v>
  </rv>
  <rv s="0">
    <fb>70.459999999999994</fb>
    <v>1</v>
  </rv>
  <rv s="0">
    <fb>70.41</fb>
    <v>1</v>
  </rv>
  <rv s="0">
    <fb>70.528999999999996</fb>
    <v>1</v>
  </rv>
  <rv s="0">
    <fb>69.45</fb>
    <v>1</v>
  </rv>
  <rv s="0">
    <fb>21694031</fb>
    <v>2</v>
  </rv>
  <rv s="0">
    <fb>45723</fb>
    <v>0</v>
  </rv>
  <rv s="0">
    <fb>71.430000000000007</fb>
    <v>1</v>
  </rv>
  <rv s="0">
    <fb>69.650000000000006</fb>
    <v>1</v>
  </rv>
  <rv s="0">
    <fb>71.819999999999993</fb>
    <v>1</v>
  </rv>
  <rv s="0">
    <fb>28393261</fb>
    <v>2</v>
  </rv>
  <rv s="0">
    <fb>45726</fb>
    <v>0</v>
  </rv>
  <rv s="0">
    <fb>71.959999999999994</fb>
    <v>1</v>
  </rv>
  <rv s="0">
    <fb>73.22</fb>
    <v>1</v>
  </rv>
  <rv s="0">
    <fb>71.314999999999998</fb>
    <v>1</v>
  </rv>
  <rv s="0">
    <fb>25251189</fb>
    <v>2</v>
  </rv>
  <rv s="0">
    <fb>45727</fb>
    <v>0</v>
  </rv>
  <rv s="0">
    <fb>71.040000000000006</fb>
    <v>1</v>
  </rv>
  <rv s="0">
    <fb>71.875</fb>
    <v>1</v>
  </rv>
  <rv s="0">
    <fb>72.040000000000006</fb>
    <v>1</v>
  </rv>
  <rv s="0">
    <fb>70.61</fb>
    <v>1</v>
  </rv>
  <rv s="0">
    <fb>28076440</fb>
    <v>2</v>
  </rv>
  <rv s="0">
    <fb>45728</fb>
    <v>0</v>
  </rv>
  <rv s="0">
    <fb>69.94</fb>
    <v>1</v>
  </rv>
  <rv s="0">
    <fb>70.37</fb>
    <v>1</v>
  </rv>
  <rv s="0">
    <fb>69.739999999999995</fb>
    <v>1</v>
  </rv>
  <rv s="0">
    <fb>18923301</fb>
    <v>2</v>
  </rv>
  <rv s="0">
    <fb>45729</fb>
    <v>0</v>
  </rv>
  <rv s="0">
    <fb>69.62</fb>
    <v>1</v>
  </rv>
  <rv s="0">
    <fb>70.25</fb>
    <v>1</v>
  </rv>
  <rv s="0">
    <fb>69.281000000000006</fb>
    <v>1</v>
  </rv>
  <rv s="0">
    <fb>15746568</fb>
    <v>2</v>
  </rv>
  <rv s="0">
    <fb>45730</fb>
    <v>0</v>
  </rv>
  <rv s="0">
    <fb>69.16</fb>
    <v>1</v>
  </rv>
  <rv s="0">
    <fb>68.510000000000005</fb>
    <v>1</v>
  </rv>
  <rv s="0">
    <fb>69.260000000000005</fb>
    <v>1</v>
  </rv>
  <rv s="0">
    <fb>68.380300000000005</fb>
    <v>1</v>
  </rv>
  <rv s="0">
    <fb>14205091</fb>
    <v>2</v>
  </rv>
  <rv s="0">
    <fb>45733</fb>
    <v>0</v>
  </rv>
  <rv s="0">
    <fb>70.12</fb>
    <v>1</v>
  </rv>
  <rv s="0">
    <fb>69.239999999999995</fb>
    <v>1</v>
  </rv>
  <rv s="0">
    <fb>70.17</fb>
    <v>1</v>
  </rv>
  <rv s="0">
    <fb>69.08</fb>
    <v>1</v>
  </rv>
  <rv s="0">
    <fb>15634808</fb>
    <v>2</v>
  </rv>
  <rv s="0">
    <fb>45734</fb>
    <v>0</v>
  </rv>
  <rv s="0">
    <fb>69.38</fb>
    <v>1</v>
  </rv>
  <rv s="0">
    <fb>70.11</fb>
    <v>1</v>
  </rv>
  <rv s="0">
    <fb>69.3</fb>
    <v>1</v>
  </rv>
  <rv s="0">
    <fb>12657615</fb>
    <v>2</v>
  </rv>
  <rv s="0">
    <fb>45735</fb>
    <v>0</v>
  </rv>
  <rv s="0">
    <fb>69.28</fb>
    <v>1</v>
  </rv>
  <rv s="0">
    <fb>68.540000000000006</fb>
    <v>1</v>
  </rv>
  <rv s="0">
    <fb>14780007</fb>
    <v>2</v>
  </rv>
  <rv s="0">
    <fb>45736</fb>
    <v>0</v>
  </rv>
  <rv s="0">
    <fb>69.305000000000007</fb>
    <v>1</v>
  </rv>
  <rv s="0">
    <fb>69.81</fb>
    <v>1</v>
  </rv>
  <rv s="0">
    <fb>69.09</fb>
    <v>1</v>
  </rv>
  <rv s="0">
    <fb>16295263</fb>
    <v>2</v>
  </rv>
  <rv s="0">
    <fb>45737</fb>
    <v>0</v>
  </rv>
  <rv s="0">
    <fb>68.67</fb>
    <v>1</v>
  </rv>
  <rv s="0">
    <fb>69.97</fb>
    <v>1</v>
  </rv>
  <rv s="0">
    <fb>68.180000000000007</fb>
    <v>1</v>
  </rv>
  <rv s="0">
    <fb>47479473</fb>
    <v>2</v>
  </rv>
  <rv s="0">
    <fb>45740</fb>
    <v>0</v>
  </rv>
  <rv s="0">
    <fb>68.95</fb>
    <v>1</v>
  </rv>
  <rv s="0">
    <fb>68.8</fb>
    <v>1</v>
  </rv>
  <rv s="0">
    <fb>68.33</fb>
    <v>1</v>
  </rv>
  <rv s="0">
    <fb>12575412</fb>
    <v>2</v>
  </rv>
  <rv s="0">
    <fb>45741</fb>
    <v>0</v>
  </rv>
  <rv s="0">
    <fb>68.81</fb>
    <v>1</v>
  </rv>
  <rv s="0">
    <fb>68.599999999999994</fb>
    <v>1</v>
  </rv>
  <rv s="0">
    <fb>12513897</fb>
    <v>2</v>
  </rv>
  <rv s="0">
    <fb>45742</fb>
    <v>0</v>
  </rv>
  <rv s="0">
    <fb>70.02</fb>
    <v>1</v>
  </rv>
  <rv s="0">
    <fb>68.92</fb>
    <v>1</v>
  </rv>
  <rv s="0">
    <fb>70.349999999999994</fb>
    <v>1</v>
  </rv>
  <rv s="0">
    <fb>68.900000000000006</fb>
    <v>1</v>
  </rv>
  <rv s="0">
    <fb>14482764</fb>
    <v>2</v>
  </rv>
  <rv s="0">
    <fb>45743</fb>
    <v>0</v>
  </rv>
  <rv s="0">
    <fb>70.180000000000007</fb>
    <v>1</v>
  </rv>
  <rv s="0">
    <fb>70.984999999999999</fb>
    <v>1</v>
  </rv>
  <rv s="0">
    <fb>11663365</fb>
    <v>2</v>
  </rv>
  <rv s="0">
    <fb>45744</fb>
    <v>0</v>
  </rv>
  <rv s="0">
    <fb>70.81</fb>
    <v>1</v>
  </rv>
  <rv s="0">
    <fb>69.53</fb>
    <v>1</v>
  </rv>
  <rv s="0">
    <fb>17412915</fb>
    <v>2</v>
  </rv>
  <rv s="0">
    <fb>45747</fb>
    <v>0</v>
  </rv>
  <rv s="0">
    <fb>71.62</fb>
    <v>1</v>
  </rv>
  <rv s="0">
    <fb>71.9375</fb>
    <v>1</v>
  </rv>
  <rv s="0">
    <fb>70.489999999999995</fb>
    <v>1</v>
  </rv>
  <rv s="0">
    <fb>24016866</fb>
    <v>2</v>
  </rv>
  <rv s="0">
    <fb>45748</fb>
    <v>0</v>
  </rv>
  <rv s="0">
    <fb>71.87</fb>
    <v>1</v>
  </rv>
  <rv s="0">
    <fb>71.680000000000007</fb>
    <v>1</v>
  </rv>
  <rv s="0">
    <fb>71.91</fb>
    <v>1</v>
  </rv>
  <rv s="0">
    <fb>71.185000000000002</fb>
    <v>1</v>
  </rv>
  <rv s="0">
    <fb>15309146</fb>
    <v>2</v>
  </rv>
  <rv s="0">
    <fb>45749</fb>
    <v>0</v>
  </rv>
  <rv s="0">
    <fb>71.33</fb>
    <v>1</v>
  </rv>
  <rv s="0">
    <fb>71.05</fb>
    <v>1</v>
  </rv>
  <rv s="0">
    <fb>14606519</fb>
    <v>2</v>
  </rv>
  <rv s="0">
    <fb>45750</fb>
    <v>0</v>
  </rv>
  <rv s="0">
    <fb>73.180000000000007</fb>
    <v>1</v>
  </rv>
  <rv s="0">
    <fb>72.48</fb>
    <v>1</v>
  </rv>
  <rv s="0">
    <fb>73.95</fb>
    <v>1</v>
  </rv>
  <rv s="0">
    <fb>24959593</fb>
    <v>2</v>
  </rv>
  <rv s="0">
    <fb>45751</fb>
    <v>0</v>
  </rv>
  <rv s="0">
    <fb>69.930000000000007</fb>
    <v>1</v>
  </rv>
  <rv s="0">
    <fb>72.42</fb>
    <v>1</v>
  </rv>
  <rv s="0">
    <fb>73.010000000000005</fb>
    <v>1</v>
  </rv>
  <rv s="0">
    <fb>69.790000000000006</fb>
    <v>1</v>
  </rv>
  <rv s="0">
    <fb>26517289</fb>
    <v>2</v>
  </rv>
  <rv s="0">
    <fb>45754</fb>
    <v>0</v>
  </rv>
  <rv s="0">
    <fb>68.37</fb>
    <v>1</v>
  </rv>
  <rv s="0">
    <fb>66.23</fb>
    <v>1</v>
  </rv>
  <rv s="0">
    <fb>66.05</fb>
    <v>1</v>
  </rv>
  <rv s="0">
    <fb>34258363</fb>
    <v>2</v>
  </rv>
  <rv s="0">
    <fb>45755</fb>
    <v>0</v>
  </rv>
  <rv s="0">
    <fb>68.959999999999994</fb>
    <v>1</v>
  </rv>
  <rv s="0">
    <fb>69.981499999999997</fb>
    <v>1</v>
  </rv>
  <rv s="0">
    <fb>67.760000000000005</fb>
    <v>1</v>
  </rv>
  <rv s="0">
    <fb>22774425</fb>
    <v>2</v>
  </rv>
  <rv s="0">
    <fb>45756</fb>
    <v>0</v>
  </rv>
  <rv s="0">
    <fb>69.95</fb>
    <v>1</v>
  </rv>
  <rv s="0">
    <fb>67.92</fb>
    <v>1</v>
  </rv>
  <rv s="0">
    <fb>70.47</fb>
    <v>1</v>
  </rv>
  <rv s="0">
    <fb>67.28</fb>
    <v>1</v>
  </rv>
  <rv s="0">
    <fb>27918675</fb>
    <v>2</v>
  </rv>
  <rv s="0">
    <fb>45757</fb>
    <v>0</v>
  </rv>
  <rv s="0">
    <fb>70.760000000000005</fb>
    <v>1</v>
  </rv>
  <rv s="0">
    <fb>71.204999999999998</fb>
    <v>1</v>
  </rv>
  <rv s="0">
    <fb>68.98</fb>
    <v>1</v>
  </rv>
  <rv s="0">
    <fb>22450163</fb>
    <v>2</v>
  </rv>
  <rv s="0">
    <fb>45758</fb>
    <v>0</v>
  </rv>
  <rv s="0">
    <fb>70.905000000000001</fb>
    <v>1</v>
  </rv>
  <rv s="0">
    <fb>71.849999999999994</fb>
    <v>1</v>
  </rv>
  <rv s="0">
    <fb>70.540000000000006</fb>
    <v>1</v>
  </rv>
  <rv s="0">
    <fb>19988203</fb>
    <v>2</v>
  </rv>
  <rv s="0">
    <fb>45761</fb>
    <v>0</v>
  </rv>
  <rv s="0">
    <fb>72.45</fb>
    <v>1</v>
  </rv>
  <rv s="0">
    <fb>71.3</fb>
    <v>1</v>
  </rv>
  <rv s="0">
    <fb>72.66</fb>
    <v>1</v>
  </rv>
  <rv s="0">
    <fb>70.930000000000007</fb>
    <v>1</v>
  </rv>
  <rv s="0">
    <fb>13930207</fb>
    <v>2</v>
  </rv>
  <rv s="0">
    <fb>45762</fb>
    <v>0</v>
  </rv>
  <rv s="0">
    <fb>71.86</fb>
    <v>1</v>
  </rv>
  <rv s="0">
    <fb>72.62</fb>
    <v>1</v>
  </rv>
  <rv s="0">
    <fb>72.63</fb>
    <v>1</v>
  </rv>
  <rv s="0">
    <fb>71.724999999999994</fb>
    <v>1</v>
  </rv>
  <rv s="0">
    <fb>14965492</fb>
    <v>2</v>
  </rv>
  <rv s="0">
    <fb>45763</fb>
    <v>0</v>
  </rv>
  <rv s="0">
    <fb>72.665000000000006</fb>
    <v>1</v>
  </rv>
  <rv s="0">
    <fb>71.385000000000005</fb>
    <v>1</v>
  </rv>
  <rv s="0">
    <fb>15276216</fb>
    <v>2</v>
  </rv>
  <rv s="0">
    <fb>45764</fb>
    <v>0</v>
  </rv>
  <rv s="0">
    <fb>73</fb>
    <v>1</v>
  </rv>
  <rv s="0">
    <fb>71.900000000000006</fb>
    <v>1</v>
  </rv>
  <rv s="0">
    <fb>73.424999999999997</fb>
    <v>1</v>
  </rv>
  <rv s="0">
    <fb>71.72</fb>
    <v>1</v>
  </rv>
  <rv s="0">
    <fb>20754495</fb>
    <v>2</v>
  </rv>
  <rv s="0">
    <fb>45768</fb>
    <v>0</v>
  </rv>
  <rv s="0">
    <fb>72.77</fb>
    <v>1</v>
  </rv>
  <rv s="0">
    <fb>73.38</fb>
    <v>1</v>
  </rv>
  <rv s="0">
    <fb>73.472300000000004</fb>
    <v>1</v>
  </rv>
  <rv s="0">
    <fb>16037190</fb>
    <v>2</v>
  </rv>
  <rv s="0">
    <fb>45769</fb>
    <v>0</v>
  </rv>
  <rv s="0">
    <fb>73.900000000000006</fb>
    <v>1</v>
  </rv>
  <rv s="0">
    <fb>74.38</fb>
    <v>1</v>
  </rv>
  <rv s="0">
    <fb>72.92</fb>
    <v>1</v>
  </rv>
  <rv s="0">
    <fb>15613518</fb>
    <v>2</v>
  </rv>
  <rv s="0">
    <fb>45770</fb>
    <v>0</v>
  </rv>
  <rv s="0">
    <fb>73.3</fb>
    <v>1</v>
  </rv>
  <rv s="0">
    <fb>73.290000000000006</fb>
    <v>1</v>
  </rv>
  <rv s="0">
    <fb>72.38</fb>
    <v>1</v>
  </rv>
  <rv s="0">
    <fb>16353927</fb>
    <v>2</v>
  </rv>
  <rv s="0">
    <fb>45771</fb>
    <v>0</v>
  </rv>
  <rv s="0">
    <fb>72.52</fb>
    <v>1</v>
  </rv>
  <rv s="0">
    <fb>73.02</fb>
    <v>1</v>
  </rv>
  <rv s="0">
    <fb>72.3</fb>
    <v>1</v>
  </rv>
  <rv s="0">
    <fb>16893861</fb>
    <v>2</v>
  </rv>
  <rv s="0">
    <fb>45772</fb>
    <v>0</v>
  </rv>
  <rv s="0">
    <fb>71.125</fb>
    <v>1</v>
  </rv>
  <rv s="0">
    <fb>16315984</fb>
    <v>2</v>
  </rv>
  <rv s="0">
    <fb>45775</fb>
    <v>0</v>
  </rv>
  <rv s="0">
    <fb>71.790000000000006</fb>
    <v>1</v>
  </rv>
  <rv s="0">
    <fb>72.075000000000003</fb>
    <v>1</v>
  </rv>
  <rv s="0">
    <fb>72.260000000000005</fb>
    <v>1</v>
  </rv>
  <rv s="0">
    <fb>71.31</fb>
    <v>1</v>
  </rv>
  <rv s="0">
    <fb>15997495</fb>
    <v>2</v>
  </rv>
  <rv s="0">
    <fb>45776</fb>
    <v>0</v>
  </rv>
  <rv s="0">
    <fb>72.349999999999994</fb>
    <v>1</v>
  </rv>
  <rv s="0">
    <fb>71.19</fb>
    <v>1</v>
  </rv>
  <rv s="0">
    <fb>72.709999999999994</fb>
    <v>1</v>
  </rv>
  <rv s="0">
    <fb>70.28</fb>
    <v>1</v>
  </rv>
  <rv s="0">
    <fb>16244057</fb>
    <v>2</v>
  </rv>
  <rv s="0">
    <fb>45777</fb>
    <v>0</v>
  </rv>
  <rv s="0">
    <fb>72.55</fb>
    <v>1</v>
  </rv>
  <rv s="0">
    <fb>73.349999999999994</fb>
    <v>1</v>
  </rv>
  <rv s="0">
    <fb>73.48</fb>
    <v>1</v>
  </rv>
  <rv s="0">
    <fb>71.685000000000002</fb>
    <v>1</v>
  </rv>
  <rv s="0">
    <fb>21074652</fb>
    <v>2</v>
  </rv>
  <rv s="0">
    <fb>45778</fb>
    <v>0</v>
  </rv>
  <rv s="0">
    <fb>71.290000000000006</fb>
    <v>1</v>
  </rv>
  <rv s="0">
    <fb>72</fb>
    <v>1</v>
  </rv>
  <rv s="0">
    <fb>71.23</fb>
    <v>1</v>
  </rv>
  <rv s="0">
    <fb>18034163</fb>
    <v>2</v>
  </rv>
  <rv s="0">
    <fb>45779</fb>
    <v>0</v>
  </rv>
  <rv s="0">
    <fb>71.650000000000006</fb>
    <v>1</v>
  </rv>
  <rv s="0">
    <fb>71.5</fb>
    <v>1</v>
  </rv>
  <rv s="0">
    <fb>71.814999999999998</fb>
    <v>1</v>
  </rv>
  <rv s="0">
    <fb>71.094999999999999</fb>
    <v>1</v>
  </rv>
  <rv s="0">
    <fb>12629593</fb>
    <v>2</v>
  </rv>
  <rv s="0">
    <fb>45782</fb>
    <v>0</v>
  </rv>
  <rv s="0">
    <fb>71.7</fb>
    <v>1</v>
  </rv>
  <rv s="0">
    <fb>71.67</fb>
    <v>1</v>
  </rv>
  <rv s="0">
    <fb>71.8</fb>
    <v>1</v>
  </rv>
  <rv s="0">
    <fb>71.010000000000005</fb>
    <v>1</v>
  </rv>
  <rv s="0">
    <fb>11932687</fb>
    <v>2</v>
  </rv>
  <rv s="0">
    <fb>45783</fb>
    <v>0</v>
  </rv>
  <rv s="0">
    <fb>71.674999999999997</fb>
    <v>1</v>
  </rv>
  <rv s="0">
    <fb>71.16</fb>
    <v>1</v>
  </rv>
  <rv s="0">
    <fb>12705475</fb>
    <v>2</v>
  </rv>
  <rv s="0">
    <fb>45784</fb>
    <v>0</v>
  </rv>
  <rv s="0">
    <fb>72.400000000000006</fb>
    <v>1</v>
  </rv>
  <rv s="0">
    <fb>72.685000000000002</fb>
    <v>1</v>
  </rv>
  <rv s="0">
    <fb>15025786</fb>
    <v>2</v>
  </rv>
  <rv s="0">
    <fb>45785</fb>
    <v>0</v>
  </rv>
  <rv s="0">
    <fb>71.17</fb>
    <v>1</v>
  </rv>
  <rv s="0">
    <fb>72.2</fb>
    <v>1</v>
  </rv>
  <rv s="0">
    <fb>72.47</fb>
    <v>1</v>
  </rv>
  <rv s="0">
    <fb>71.13</fb>
    <v>1</v>
  </rv>
  <rv s="0">
    <fb>14371061</fb>
    <v>2</v>
  </rv>
  <rv s="0">
    <fb>45786</fb>
    <v>0</v>
  </rv>
  <rv s="0">
    <fb>70.52</fb>
    <v>1</v>
  </rv>
  <rv s="0">
    <fb>70.989999999999995</fb>
    <v>1</v>
  </rv>
  <rv s="0">
    <fb>71.150000000000006</fb>
    <v>1</v>
  </rv>
  <rv s="0">
    <fb>11228947</fb>
    <v>2</v>
  </rv>
  <rv s="0">
    <fb>45789</fb>
    <v>0</v>
  </rv>
  <rv s="0">
    <fb>70.144999999999996</fb>
    <v>1</v>
  </rv>
  <rv s="0">
    <fb>68.7</fb>
    <v>1</v>
  </rv>
  <rv s="0">
    <fb>21539013</fb>
    <v>2</v>
  </rv>
  <rv s="0">
    <fb>45790</fb>
    <v>0</v>
  </rv>
  <rv s="0">
    <fb>69.59</fb>
    <v>1</v>
  </rv>
  <rv s="0">
    <fb>69.69</fb>
    <v>1</v>
  </rv>
  <rv s="0">
    <fb>14389053</fb>
    <v>2</v>
  </rv>
  <rv s="0">
    <fb>45791</fb>
    <v>0</v>
  </rv>
  <rv s="0">
    <fb>68.88</fb>
    <v>1</v>
  </rv>
  <rv s="0">
    <fb>69.34</fb>
    <v>1</v>
  </rv>
  <rv s="0">
    <fb>68.58</fb>
    <v>1</v>
  </rv>
  <rv s="0">
    <fb>16286799</fb>
    <v>2</v>
  </rv>
  <rv s="0">
    <fb>45792</fb>
    <v>0</v>
  </rv>
  <rv s="0">
    <fb>71.61</fb>
    <v>1</v>
  </rv>
  <rv s="0">
    <fb>69.7</fb>
    <v>1</v>
  </rv>
  <rv s="0">
    <fb>69.599999999999994</fb>
    <v>1</v>
  </rv>
  <rv s="0">
    <fb>19817096</fb>
    <v>2</v>
  </rv>
  <rv s="0">
    <fb>45793</fb>
    <v>0</v>
  </rv>
  <rv s="0">
    <fb>18441200</fb>
    <v>2</v>
  </rv>
  <rv s="0">
    <fb>45796</fb>
    <v>0</v>
  </rv>
  <rv s="0">
    <fb>71.930000000000007</fb>
    <v>1</v>
  </rv>
  <rv s="0">
    <fb>72.03</fb>
    <v>1</v>
  </rv>
  <rv s="0">
    <fb>72.17</fb>
    <v>1</v>
  </rv>
  <rv s="0">
    <fb>71.64</fb>
    <v>1</v>
  </rv>
  <rv s="0">
    <fb>13282775</fb>
    <v>2</v>
  </rv>
  <rv s="0">
    <fb>45797</fb>
    <v>0</v>
  </rv>
  <rv s="0">
    <fb>71.69</fb>
    <v>1</v>
  </rv>
  <rv s="0">
    <fb>72.13</fb>
    <v>1</v>
  </rv>
  <rv s="0">
    <fb>12137798</fb>
    <v>2</v>
  </rv>
  <rv s="0">
    <fb>45798</fb>
    <v>0</v>
  </rv>
  <rv s="0">
    <fb>72.08</fb>
    <v>1</v>
  </rv>
  <rv s="0">
    <fb>71.584999999999994</fb>
    <v>1</v>
  </rv>
  <rv s="0">
    <fb>12094424</fb>
    <v>2</v>
  </rv>
  <rv s="0">
    <fb>45799</fb>
    <v>0</v>
  </rv>
  <rv s="0">
    <fb>71.14</fb>
    <v>1</v>
  </rv>
  <rv s="0">
    <fb>71.84</fb>
    <v>1</v>
  </rv>
  <rv s="0">
    <fb>71.984999999999999</fb>
    <v>1</v>
  </rv>
  <rv s="0">
    <fb>70.959999999999994</fb>
    <v>1</v>
  </rv>
  <rv s="0">
    <fb>11101798</fb>
    <v>2</v>
  </rv>
  <rv s="0">
    <fb>45800</fb>
    <v>0</v>
  </rv>
  <rv s="0">
    <fb>71.77</fb>
    <v>1</v>
  </rv>
  <rv s="0">
    <fb>71.540000000000006</fb>
    <v>1</v>
  </rv>
  <rv s="0">
    <fb>71.98</fb>
    <v>1</v>
  </rv>
  <rv s="0">
    <fb>70.685000000000002</fb>
    <v>1</v>
  </rv>
  <rv s="0">
    <fb>12822145</fb>
    <v>2</v>
  </rv>
  <rv s="0">
    <fb>45804</fb>
    <v>0</v>
  </rv>
  <rv s="0">
    <fb>71.78</fb>
    <v>1</v>
  </rv>
  <rv s="0">
    <fb>71.739999999999995</fb>
    <v>1</v>
  </rv>
  <rv s="0">
    <fb>72.22</fb>
    <v>1</v>
  </rv>
  <rv s="0">
    <fb>71.56</fb>
    <v>1</v>
  </rv>
  <rv s="0">
    <fb>10666102</fb>
    <v>2</v>
  </rv>
  <rv s="0">
    <fb>45805</fb>
    <v>0</v>
  </rv>
  <rv s="0">
    <fb>8710896</fb>
    <v>2</v>
  </rv>
  <rv s="0">
    <fb>45806</fb>
    <v>0</v>
  </rv>
  <rv s="0">
    <fb>71</fb>
    <v>1</v>
  </rv>
  <rv s="0">
    <fb>71.66</fb>
    <v>1</v>
  </rv>
  <rv s="0">
    <fb>10294095</fb>
    <v>2</v>
  </rv>
  <rv s="0">
    <fb>45807</fb>
    <v>0</v>
  </rv>
  <rv s="0">
    <fb>72.099999999999994</fb>
    <v>1</v>
  </rv>
  <rv s="0">
    <fb>71.605000000000004</fb>
    <v>1</v>
  </rv>
  <rv s="0">
    <fb>28019547</fb>
    <v>2</v>
  </rv>
  <rv s="0">
    <fb>45810</fb>
    <v>0</v>
  </rv>
  <rv s="0">
    <fb>72.025000000000006</fb>
    <v>1</v>
  </rv>
  <rv s="0">
    <fb>71.36</fb>
    <v>1</v>
  </rv>
  <rv s="0">
    <fb>10202737</fb>
    <v>2</v>
  </rv>
  <rv s="0">
    <fb>45811</fb>
    <v>0</v>
  </rv>
  <rv s="0">
    <fb>71.709999999999994</fb>
    <v>1</v>
  </rv>
  <rv s="0">
    <fb>70.474999999999994</fb>
    <v>1</v>
  </rv>
  <rv s="0">
    <fb>20139767</fb>
    <v>2</v>
  </rv>
  <rv s="0">
    <fb>45812</fb>
    <v>0</v>
  </rv>
  <rv s="0">
    <fb>71.37</fb>
    <v>1</v>
  </rv>
  <rv s="0">
    <fb>71.260000000000005</fb>
    <v>1</v>
  </rv>
  <rv s="0">
    <fb>71.844999999999999</fb>
    <v>1</v>
  </rv>
  <rv s="0">
    <fb>70.680000000000007</fb>
    <v>1</v>
  </rv>
  <rv s="0">
    <fb>13565891</fb>
    <v>2</v>
  </rv>
  <rv s="0">
    <fb>45813</fb>
    <v>0</v>
  </rv>
  <rv s="0">
    <fb>70.91</fb>
    <v>1</v>
  </rv>
  <rv s="0">
    <fb>71.38</fb>
    <v>1</v>
  </rv>
  <rv s="0">
    <fb>71.454999999999998</fb>
    <v>1</v>
  </rv>
  <rv s="0">
    <fb>70.834999999999994</fb>
    <v>1</v>
  </rv>
  <rv s="0">
    <fb>13535619</fb>
    <v>2</v>
  </rv>
  <rv s="0">
    <fb>45814</fb>
    <v>0</v>
  </rv>
  <rv s="0">
    <fb>71.084999999999994</fb>
    <v>1</v>
  </rv>
  <rv s="0">
    <fb>71.48</fb>
    <v>1</v>
  </rv>
  <rv s="0">
    <fb>70.944800000000001</fb>
    <v>1</v>
  </rv>
  <rv s="0">
    <fb>9524036</fb>
    <v>2</v>
  </rv>
  <rv s="0">
    <fb>45817</fb>
    <v>0</v>
  </rv>
  <rv s="0">
    <fb>71.83</fb>
    <v>1</v>
  </rv>
  <rv s="0">
    <fb>71.09</fb>
    <v>1</v>
  </rv>
  <rv s="0">
    <fb>12281339</fb>
    <v>2</v>
  </rv>
  <rv s="0">
    <fb>45818</fb>
    <v>0</v>
  </rv>
  <rv s="0">
    <fb>71.760000000000005</fb>
    <v>1</v>
  </rv>
  <rv s="0">
    <fb>12264972</fb>
    <v>2</v>
  </rv>
  <rv s="0">
    <fb>45819</fb>
    <v>0</v>
  </rv>
  <rv s="0">
    <fb>72.265000000000001</fb>
    <v>1</v>
  </rv>
  <rv s="0">
    <fb>12718510</fb>
    <v>2</v>
  </rv>
  <rv s="0">
    <fb>45820</fb>
    <v>0</v>
  </rv>
  <rv s="0">
    <fb>72.239999999999995</fb>
    <v>1</v>
  </rv>
  <rv s="0">
    <fb>72.25</fb>
    <v>1</v>
  </rv>
  <rv s="0">
    <fb>72.399900000000002</fb>
    <v>1</v>
  </rv>
  <rv s="0">
    <fb>12806911</fb>
    <v>2</v>
  </rv>
  <rv s="0">
    <fb>45821</fb>
    <v>0</v>
  </rv>
  <rv s="0">
    <fb>71.02</fb>
    <v>1</v>
  </rv>
  <rv s="0">
    <fb>71.88</fb>
    <v>1</v>
  </rv>
  <rv s="0">
    <fb>17467162</fb>
    <v>2</v>
  </rv>
  <rv s="0">
    <fb>45824</fb>
    <v>0</v>
  </rv>
  <rv s="0">
    <fb>71.2</fb>
    <v>1</v>
  </rv>
  <rv s="0">
    <fb>15045880</fb>
    <v>2</v>
  </rv>
  <rv s="0">
    <fb>45825</fb>
    <v>0</v>
  </rv>
  <rv s="0">
    <fb>70.38</fb>
    <v>1</v>
  </rv>
  <rv s="0">
    <fb>69.58</fb>
    <v>1</v>
  </rv>
  <rv s="0">
    <fb>15437032</fb>
    <v>2</v>
  </rv>
  <rv s="0">
    <fb>45826</fb>
    <v>0</v>
  </rv>
  <rv s="0">
    <fb>70</fb>
    <v>1</v>
  </rv>
  <rv s="0">
    <fb>16227582</fb>
    <v>2</v>
  </rv>
  <rv s="0">
    <fb>45828</fb>
    <v>0</v>
  </rv>
  <rv s="0">
    <fb>68.84</fb>
    <v>1</v>
  </rv>
  <rv s="0">
    <fb>69.555400000000006</fb>
    <v>1</v>
  </rv>
  <rv s="0">
    <fb>68.78</fb>
    <v>1</v>
  </rv>
  <rv s="0">
    <fb>40859425</fb>
    <v>2</v>
  </rv>
  <rv s="0">
    <fb>45831</fb>
    <v>0</v>
  </rv>
  <rv s="0">
    <fb>69.14</fb>
    <v>1</v>
  </rv>
  <rv s="0">
    <fb>68.97</fb>
    <v>1</v>
  </rv>
  <rv s="0">
    <fb>21822773</fb>
    <v>2</v>
  </rv>
  <rv s="0">
    <fb>45832</fb>
    <v>0</v>
  </rv>
  <rv s="0">
    <fb>70.209999999999994</fb>
    <v>1</v>
  </rv>
  <rv s="0">
    <fb>69.944999999999993</fb>
    <v>1</v>
  </rv>
  <rv s="0">
    <fb>69.685000000000002</fb>
    <v>1</v>
  </rv>
  <rv s="0">
    <fb>15216084</fb>
    <v>2</v>
  </rv>
  <rv s="0">
    <fb>45833</fb>
    <v>0</v>
  </rv>
  <rv s="0">
    <fb>69.63</fb>
    <v>1</v>
  </rv>
  <rv s="0">
    <fb>69.924999999999997</fb>
    <v>1</v>
  </rv>
  <rv s="0">
    <fb>69.430000000000007</fb>
    <v>1</v>
  </rv>
  <rv s="0">
    <fb>12540374</fb>
    <v>2</v>
  </rv>
  <rv s="0">
    <fb>45834</fb>
    <v>0</v>
  </rv>
  <rv s="0">
    <fb>69.47</fb>
    <v>1</v>
  </rv>
  <rv s="0">
    <fb>69.92</fb>
    <v>1</v>
  </rv>
  <rv s="0">
    <fb>69.144999999999996</fb>
    <v>1</v>
  </rv>
  <rv s="0">
    <fb>14454090</fb>
    <v>2</v>
  </rv>
  <rv s="0">
    <fb>45835</fb>
    <v>0</v>
  </rv>
  <rv s="0">
    <fb>23470691</fb>
    <v>2</v>
  </rv>
  <rv s="0">
    <fb>45838</fb>
    <v>0</v>
  </rv>
  <rv s="0">
    <fb>70.75</fb>
    <v>1</v>
  </rv>
  <rv s="0">
    <fb>70.125</fb>
    <v>1</v>
  </rv>
  <rv s="0">
    <fb>70.790000000000006</fb>
    <v>1</v>
  </rv>
  <rv s="0">
    <fb>70.09</fb>
    <v>1</v>
  </rv>
  <rv s="0">
    <fb>15428966</fb>
    <v>2</v>
  </rv>
  <rv s="0">
    <fb>45839</fb>
    <v>0</v>
  </rv>
  <rv s="0">
    <fb>70.900000000000006</fb>
    <v>1</v>
  </rv>
  <rv s="0">
    <fb>21729276</fb>
    <v>2</v>
  </rv>
  <rv s="0">
    <fb>45840</fb>
    <v>0</v>
  </rv>
  <rv s="0">
    <fb>71.825000000000003</fb>
    <v>1</v>
  </rv>
  <rv s="0">
    <fb>70.734999999999999</fb>
    <v>1</v>
  </rv>
  <rv s="0">
    <fb>13050239</fb>
    <v>2</v>
  </rv>
  <rv s="0">
    <fb>45841</fb>
    <v>0</v>
  </rv>
  <rv s="0">
    <fb>71.394999999999996</fb>
    <v>1</v>
  </rv>
  <rv s="0">
    <fb>70.45</fb>
    <v>1</v>
  </rv>
  <rv s="0">
    <fb>9440457</fb>
    <v>2</v>
  </rv>
  <rv s="0">
    <fb>45845</fb>
    <v>0</v>
  </rv>
  <rv s="0">
    <fb>16984675</fb>
    <v>2</v>
  </rv>
  <rv s="0">
    <fb>45846</fb>
    <v>0</v>
  </rv>
  <rv s="0">
    <fb>17115521</fb>
    <v>2</v>
  </rv>
  <rv s="0">
    <fb>45847</fb>
    <v>0</v>
  </rv>
  <rv s="0">
    <fb>69.48</fb>
    <v>1</v>
  </rv>
  <rv s="0">
    <fb>70.16</fb>
    <v>1</v>
  </rv>
  <rv s="0">
    <fb>33704119</fb>
    <v>2</v>
  </rv>
  <rv s="0">
    <fb>45848</fb>
    <v>0</v>
  </rv>
  <rv s="0">
    <fb>69.77</fb>
    <v>1</v>
  </rv>
  <rv s="0">
    <fb>69.290000000000006</fb>
    <v>1</v>
  </rv>
  <rv s="0">
    <fb>69.844999999999999</fb>
    <v>1</v>
  </rv>
  <rv s="0">
    <fb>14615046</fb>
    <v>2</v>
  </rv>
  <rv s="0">
    <fb>45849</fb>
    <v>0</v>
  </rv>
  <rv s="0">
    <fb>69.87</fb>
    <v>1</v>
  </rv>
  <rv s="0">
    <fb>69.564999999999998</fb>
    <v>1</v>
  </rv>
  <rv s="0">
    <fb>70.155000000000001</fb>
    <v>1</v>
  </rv>
  <rv s="0">
    <fb>69.25</fb>
    <v>1</v>
  </rv>
  <rv s="0">
    <fb>12916670</fb>
    <v>2</v>
  </rv>
  <rv s="0">
    <fb>45852</fb>
    <v>0</v>
  </rv>
  <rv s="0">
    <fb>69.8</fb>
    <v>1</v>
  </rv>
  <rv s="0">
    <fb>69.271900000000002</fb>
    <v>1</v>
  </rv>
  <rv s="0">
    <fb>13983246</fb>
    <v>2</v>
  </rv>
  <rv s="0">
    <fb>45853</fb>
    <v>0</v>
  </rv>
  <rv s="0">
    <fb>69.36</fb>
    <v>1</v>
  </rv>
  <rv s="0">
    <fb>69.510000000000005</fb>
    <v>1</v>
  </rv>
  <rv s="0">
    <fb>69.55</fb>
    <v>1</v>
  </rv>
  <rv s="0">
    <fb>69.150000000000006</fb>
    <v>1</v>
  </rv>
  <rv s="0">
    <fb>12639808</fb>
    <v>2</v>
  </rv>
  <rv s="0">
    <fb>45854</fb>
    <v>0</v>
  </rv>
  <rv s="0">
    <fb>69.27</fb>
    <v>1</v>
  </rv>
  <rv s="0">
    <fb>69.349999999999994</fb>
    <v>1</v>
  </rv>
  <rv s="0">
    <fb>68.790000000000006</fb>
    <v>1</v>
  </rv>
  <rv s="0">
    <fb>13178292</fb>
    <v>2</v>
  </rv>
  <rv s="0">
    <fb>45855</fb>
    <v>0</v>
  </rv>
  <rv s="0">
    <fb>20464657</fb>
    <v>2</v>
  </rv>
  <rv s="0">
    <fb>45856</fb>
    <v>0</v>
  </rv>
  <rv s="0">
    <fb>69.849999999999994</fb>
    <v>1</v>
  </rv>
  <rv s="0">
    <fb>70.444999999999993</fb>
    <v>1</v>
  </rv>
  <rv s="0">
    <fb>70.7</fb>
    <v>1</v>
  </rv>
  <rv s="0">
    <fb>69.834999999999994</fb>
    <v>1</v>
  </rv>
  <rv s="0">
    <fb>14927950</fb>
    <v>2</v>
  </rv>
  <rv s="0">
    <fb>45859</fb>
    <v>0</v>
  </rv>
  <rv s="0">
    <fb>70.194999999999993</fb>
    <v>1</v>
  </rv>
  <rv s="0">
    <fb>70.62</fb>
    <v>1</v>
  </rv>
  <rv s="0">
    <fb>17811719</fb>
    <v>2</v>
  </rv>
  <rv s="0">
    <fb>45860</fb>
    <v>0</v>
  </rv>
  <rv s="0">
    <fb>69.66</fb>
    <v>1</v>
  </rv>
  <rv s="0">
    <fb>70.259200000000007</fb>
    <v>1</v>
  </rv>
  <rv s="0">
    <fb>68.69</fb>
    <v>1</v>
  </rv>
  <rv s="0">
    <fb>22339884</fb>
    <v>2</v>
  </rv>
  <rv s="0">
    <fb>45861</fb>
    <v>0</v>
  </rv>
  <rv s="0">
    <fb>21029993</fb>
    <v>2</v>
  </rv>
  <rv s="0">
    <fb>45862</fb>
    <v>0</v>
  </rv>
  <rv s="0">
    <fb>69.099999999999994</fb>
    <v>1</v>
  </rv>
  <rv s="0">
    <fb>69.254999999999995</fb>
    <v>1</v>
  </rv>
  <rv s="0">
    <fb>68.989999999999995</fb>
    <v>1</v>
  </rv>
  <rv s="0">
    <fb>12511367</fb>
    <v>2</v>
  </rv>
  <rv s="0">
    <fb>45863</fb>
    <v>0</v>
  </rv>
  <rv s="0">
    <fb>69.13</fb>
    <v>1</v>
  </rv>
  <rv s="0">
    <fb>69.23</fb>
    <v>1</v>
  </rv>
  <rv s="0">
    <fb>68.75</fb>
    <v>1</v>
  </rv>
  <rv s="0">
    <fb>12574823</fb>
    <v>2</v>
  </rv>
  <rv s="0">
    <fb>45866</fb>
    <v>0</v>
  </rv>
  <rv s="0">
    <fb>68.09</fb>
    <v>1</v>
  </rv>
  <rv s="0">
    <fb>68.739999999999995</fb>
    <v>1</v>
  </rv>
  <rv s="0">
    <fb>68.06</fb>
    <v>1</v>
  </rv>
  <rv s="0">
    <fb>13668798</fb>
    <v>2</v>
  </rv>
  <rv s="0">
    <fb>45867</fb>
    <v>0</v>
  </rv>
  <rv s="0">
    <fb>68.34</fb>
    <v>1</v>
  </rv>
  <rv s="0">
    <fb>68.150000000000006</fb>
    <v>1</v>
  </rv>
  <rv s="0">
    <fb>16223379</fb>
    <v>2</v>
  </rv>
  <rv s="0">
    <fb>45868</fb>
    <v>0</v>
  </rv>
  <rv s="0">
    <fb>69.11</fb>
    <v>1</v>
  </rv>
  <rv s="0">
    <fb>69.33</fb>
    <v>1</v>
  </rv>
  <rv s="0">
    <fb>68.525000000000006</fb>
    <v>1</v>
  </rv>
  <rv s="0">
    <fb>10448179</fb>
    <v>2</v>
  </rv>
  <rv s="0">
    <fb>45869</fb>
    <v>0</v>
  </rv>
  <rv s="0">
    <fb>67.89</fb>
    <v>1</v>
  </rv>
  <rv s="0">
    <fb>68.650000000000006</fb>
    <v>1</v>
  </rv>
  <rv s="0">
    <fb>67.739999999999995</fb>
    <v>1</v>
  </rv>
  <rv s="0">
    <fb>17193418</fb>
    <v>2</v>
  </rv>
  <rv s="0">
    <fb>45870</fb>
    <v>0</v>
  </rv>
  <rv s="0">
    <fb>68.86</fb>
    <v>1</v>
  </rv>
  <rv s="0">
    <fb>68.594999999999999</fb>
    <v>1</v>
  </rv>
  <rv s="0">
    <fb>69.040000000000006</fb>
    <v>1</v>
  </rv>
  <rv s="0">
    <fb>68.27</fb>
    <v>1</v>
  </rv>
  <rv s="0">
    <fb>16107506</fb>
    <v>2</v>
  </rv>
  <rv s="0">
    <fb>45873</fb>
    <v>0</v>
  </rv>
  <rv s="0">
    <fb>68.715000000000003</fb>
    <v>1</v>
  </rv>
  <rv s="0">
    <fb>69.084999999999994</fb>
    <v>1</v>
  </rv>
  <rv s="0">
    <fb>68.31</fb>
    <v>1</v>
  </rv>
  <rv s="0">
    <fb>10701525</fb>
    <v>2</v>
  </rv>
  <rv s="0">
    <fb>45874</fb>
    <v>0</v>
  </rv>
  <rv s="0">
    <fb>69.484999999999999</fb>
    <v>1</v>
  </rv>
  <rv s="0">
    <fb>11993391</fb>
    <v>2</v>
  </rv>
  <rv s="0">
    <fb>45875</fb>
    <v>0</v>
  </rv>
  <rv s="0">
    <fb>69.12</fb>
    <v>1</v>
  </rv>
  <rv s="0">
    <fb>68.63</fb>
    <v>1</v>
  </rv>
  <rv s="0">
    <fb>10782977</fb>
    <v>2</v>
  </rv>
  <rv s="0">
    <fb>45876</fb>
    <v>0</v>
  </rv>
  <rv s="0">
    <fb>70.430000000000007</fb>
    <v>1</v>
  </rv>
  <rv s="0">
    <fb>69.459999999999994</fb>
    <v>1</v>
  </rv>
  <rv s="0">
    <fb>70.715000000000003</fb>
    <v>1</v>
  </rv>
  <rv s="0">
    <fb>15790802</fb>
    <v>2</v>
  </rv>
  <rv s="0">
    <fb>45877</fb>
    <v>0</v>
  </rv>
  <rv s="0">
    <fb>70.34</fb>
    <v>1</v>
  </rv>
  <rv s="0">
    <fb>70.364999999999995</fb>
    <v>1</v>
  </rv>
  <rv s="0">
    <fb>70.870999999999995</fb>
    <v>1</v>
  </rv>
  <rv s="0">
    <fb>9232651</fb>
    <v>2</v>
  </rv>
  <rv s="0">
    <fb>45880</fb>
    <v>0</v>
  </rv>
  <rv s="0">
    <fb>70.3</fb>
    <v>1</v>
  </rv>
  <rv s="0">
    <fb>69.959999999999994</fb>
    <v>1</v>
  </rv>
  <rv s="0">
    <fb>10909371</fb>
    <v>2</v>
  </rv>
  <rv s="0">
    <fb>45881</fb>
    <v>0</v>
  </rv>
  <rv s="0">
    <fb>70.709999999999994</fb>
    <v>1</v>
  </rv>
  <rv s="0">
    <fb>70.814999999999998</fb>
    <v>1</v>
  </rv>
  <rv s="0">
    <fb>71.06</fb>
    <v>1</v>
  </rv>
  <rv s="0">
    <fb>70.22</fb>
    <v>1</v>
  </rv>
  <rv s="0">
    <fb>11065044</fb>
    <v>2</v>
  </rv>
  <rv s="0">
    <fb>45882</fb>
    <v>0</v>
  </rv>
  <rv s="0">
    <fb>70.69</fb>
    <v>1</v>
  </rv>
  <rv s="0">
    <fb>70.77</fb>
    <v>1</v>
  </rv>
  <rv s="0">
    <fb>70.23</fb>
    <v>1</v>
  </rv>
  <rv s="0">
    <fb>10356518</fb>
    <v>2</v>
  </rv>
  <rv s="0">
    <fb>45883</fb>
    <v>0</v>
  </rv>
  <rv s="0">
    <fb>69.39</fb>
    <v>1</v>
  </rv>
  <rv s="0">
    <fb>10722373</fb>
    <v>2</v>
  </rv>
  <rv s="0">
    <fb>45884</fb>
    <v>0</v>
  </rv>
  <rv s="0">
    <fb>70.385000000000005</fb>
    <v>1</v>
  </rv>
  <rv s="0">
    <fb>69.569999999999993</fb>
    <v>1</v>
  </rv>
  <rv s="0">
    <fb>12381112</fb>
    <v>2</v>
  </rv>
  <rv s="0">
    <fb>45887</fb>
    <v>0</v>
  </rv>
  <rv s="0">
    <fb>69.98</fb>
    <v>1</v>
  </rv>
  <rv s="0">
    <fb>70.05</fb>
    <v>1</v>
  </rv>
  <rv s="0">
    <fb>14094881</fb>
    <v>2</v>
  </rv>
  <rv s="0">
    <fb>45888</fb>
    <v>0</v>
  </rv>
  <rv s="0">
    <fb>13862214</fb>
    <v>2</v>
  </rv>
  <rv s="0">
    <fb>45889</fb>
    <v>0</v>
  </rv>
  <rv s="0">
    <fb>71.704999999999998</fb>
    <v>1</v>
  </rv>
  <rv s="0">
    <fb>70.405000000000001</fb>
    <v>1</v>
  </rv>
  <rv s="0">
    <fb>17530847</fb>
    <v>2</v>
  </rv>
  <rv s="0">
    <fb>45890</fb>
    <v>0</v>
  </rv>
  <rv s="0">
    <fb>70.66</fb>
    <v>1</v>
  </rv>
  <rv s="0">
    <fb>70.599999999999994</fb>
    <v>1</v>
  </rv>
  <rv s="0">
    <fb>8840427</fb>
    <v>2</v>
  </rv>
  <rv s="0">
    <fb>45891</fb>
    <v>0</v>
  </rv>
  <rv s="0">
    <fb>12999606</fb>
    <v>2</v>
  </rv>
  <rv s="0">
    <fb>45894</fb>
    <v>0</v>
  </rv>
  <rv s="0">
    <fb>68.930000000000007</fb>
    <v>1</v>
  </rv>
  <rv s="0">
    <fb>13634562</fb>
    <v>2</v>
  </rv>
  <rv s="0">
    <fb>45895</fb>
    <v>0</v>
  </rv>
  <rv s="0">
    <fb>68.73</fb>
    <v>1</v>
  </rv>
  <rv s="0">
    <fb>68.575000000000003</fb>
    <v>1</v>
  </rv>
  <rv s="0">
    <fb>17964231</fb>
    <v>2</v>
  </rv>
  <rv s="0">
    <fb>45896</fb>
    <v>0</v>
  </rv>
  <rv s="0">
    <fb>68.83</fb>
    <v>1</v>
  </rv>
  <rv s="0">
    <fb>68.465000000000003</fb>
    <v>1</v>
  </rv>
  <rv s="0">
    <fb>11562741</fb>
    <v>2</v>
  </rv>
  <rv s="0">
    <fb>45897</fb>
    <v>0</v>
  </rv>
  <rv s="0">
    <fb>68.36</fb>
    <v>1</v>
  </rv>
  <rv s="0">
    <fb>68.28</fb>
    <v>1</v>
  </rv>
  <rv s="0">
    <fb>16209870</fb>
    <v>2</v>
  </rv>
  <rv s="0">
    <fb>45898</fb>
    <v>0</v>
  </rv>
  <rv s="0">
    <fb>68.424999999999997</fb>
    <v>1</v>
  </rv>
  <rv s="0">
    <fb>14601094</fb>
    <v>2</v>
  </rv>
  <rv s="0">
    <fb>45902</fb>
    <v>0</v>
  </rv>
  <rv s="0">
    <fb>69.06</fb>
    <v>1</v>
  </rv>
  <rv s="0">
    <fb>68.254999999999995</fb>
    <v>1</v>
  </rv>
  <rv s="0">
    <fb>24770073</fb>
    <v>2</v>
  </rv>
  <rv s="0">
    <fb>45903</fb>
    <v>0</v>
  </rv>
  <rv s="0">
    <fb>68.66</fb>
    <v>1</v>
  </rv>
  <rv s="0">
    <fb>69.094999999999999</fb>
    <v>1</v>
  </rv>
  <rv s="0">
    <fb>67.37</fb>
    <v>1</v>
  </rv>
  <rv s="0">
    <fb>33581491</fb>
    <v>2</v>
  </rv>
  <rv s="0">
    <fb>45904</fb>
    <v>0</v>
  </rv>
  <rv s="0">
    <fb>68.25</fb>
    <v>1</v>
  </rv>
  <rv s="0">
    <fb>68.114999999999995</fb>
    <v>1</v>
  </rv>
  <rv s="0">
    <fb>16736009</fb>
    <v>2</v>
  </rv>
  <rv s="0">
    <fb>45905</fb>
    <v>0</v>
  </rv>
  <rv s="0">
    <fb>67.959999999999994</fb>
    <v>1</v>
  </rv>
  <rv s="0">
    <fb>68.010000000000005</fb>
    <v>1</v>
  </rv>
  <rv s="0">
    <fb>67.87</fb>
    <v>1</v>
  </rv>
  <rv s="0">
    <fb>23977995</fb>
    <v>2</v>
  </rv>
  <rv s="0">
    <fb>45908</fb>
    <v>0</v>
  </rv>
  <rv s="0">
    <fb>67.430000000000007</fb>
    <v>1</v>
  </rv>
  <rv s="0">
    <fb>67.855000000000004</fb>
    <v>1</v>
  </rv>
  <rv s="0">
    <fb>67.88</fb>
    <v>1</v>
  </rv>
  <rv s="0">
    <fb>67.16</fb>
    <v>1</v>
  </rv>
  <rv s="0">
    <fb>21671747</fb>
    <v>2</v>
  </rv>
  <rv s="0">
    <fb>45909</fb>
    <v>0</v>
  </rv>
  <rv s="0">
    <fb>67.86</fb>
    <v>1</v>
  </rv>
  <rv s="0">
    <fb>68.105000000000004</fb>
    <v>1</v>
  </rv>
  <rv s="0">
    <fb>14120570</fb>
    <v>2</v>
  </rv>
  <rv s="0">
    <fb>45910</fb>
    <v>0</v>
  </rv>
  <rv s="0">
    <fb>67.819999999999993</fb>
    <v>1</v>
  </rv>
  <rv s="0">
    <fb>67.790000000000006</fb>
    <v>1</v>
  </rv>
  <rv s="0">
    <fb>68.085400000000007</fb>
    <v>1</v>
  </rv>
  <rv s="0">
    <fb>67.209999999999994</fb>
    <v>1</v>
  </rv>
  <rv s="0">
    <fb>16041934</fb>
    <v>2</v>
  </rv>
  <rv s="0">
    <fb>45911</fb>
    <v>0</v>
  </rv>
  <rv s="0">
    <fb>67.62</fb>
    <v>1</v>
  </rv>
  <rv s="0">
    <fb>68.165000000000006</fb>
    <v>1</v>
  </rv>
  <rv s="0">
    <fb>67.58</fb>
    <v>1</v>
  </rv>
  <rv s="0">
    <fb>15128731</fb>
    <v>2</v>
  </rv>
  <rv s="0">
    <fb>45912</fb>
    <v>0</v>
  </rv>
  <rv s="0">
    <fb>67.010000000000005</fb>
    <v>1</v>
  </rv>
  <rv s="0">
    <fb>67.715000000000003</fb>
    <v>1</v>
  </rv>
  <rv s="0">
    <fb>66.935000000000002</fb>
    <v>1</v>
  </rv>
  <rv s="0">
    <fb>18712351</fb>
    <v>2</v>
  </rv>
  <rv s="0">
    <fb>45915</fb>
    <v>0</v>
  </rv>
  <rv s="0">
    <fb>66.209999999999994</fb>
    <v>1</v>
  </rv>
  <rv s="0">
    <fb>66.680000000000007</fb>
    <v>1</v>
  </rv>
  <rv s="0">
    <fb>66.78</fb>
    <v>1</v>
  </rv>
  <rv s="0">
    <fb>66.099999999999994</fb>
    <v>1</v>
  </rv>
  <rv s="0">
    <fb>15986132</fb>
    <v>2</v>
  </rv>
  <rv s="0">
    <fb>45916</fb>
    <v>0</v>
  </rv>
  <rv s="0">
    <fb>66.239999999999995</fb>
    <v>1</v>
  </rv>
  <rv s="0">
    <fb>66.349999999999994</fb>
    <v>1</v>
  </rv>
  <rv s="0">
    <fb>66.510000000000005</fb>
    <v>1</v>
  </rv>
  <rv s="0">
    <fb>66.055000000000007</fb>
    <v>1</v>
  </rv>
  <rv s="0">
    <fb>18555912</fb>
    <v>2</v>
  </rv>
  <rv s="0">
    <fb>45917</fb>
    <v>0</v>
  </rv>
  <rv s="0">
    <fb>67.040000000000006</fb>
    <v>1</v>
  </rv>
  <rv s="0">
    <fb>66.405000000000001</fb>
    <v>1</v>
  </rv>
  <rv s="0">
    <fb>67.13</fb>
    <v>1</v>
  </rv>
  <rv s="0">
    <fb>17372334</fb>
    <v>2</v>
  </rv>
  <rv s="0">
    <fb>45918</fb>
    <v>0</v>
  </rv>
  <rv s="0">
    <fb>66.459999999999994</fb>
    <v>1</v>
  </rv>
  <rv s="0">
    <fb>66.8</fb>
    <v>1</v>
  </rv>
  <rv s="0">
    <fb>67.034999999999997</fb>
    <v>1</v>
  </rv>
  <rv s="0">
    <fb>17722919</fb>
    <v>2</v>
  </rv>
  <rv s="0">
    <fb>45919</fb>
    <v>0</v>
  </rv>
  <rv s="0">
    <fb>66.430000000000007</fb>
    <v>1</v>
  </rv>
  <rv s="0">
    <fb>66.489999999999995</fb>
    <v>1</v>
  </rv>
  <rv s="0">
    <fb>66.73</fb>
    <v>1</v>
  </rv>
  <rv s="0">
    <fb>66.045000000000002</fb>
    <v>1</v>
  </rv>
  <rv s="0">
    <fb>31192851</fb>
    <v>2</v>
  </rv>
  <rv s="0">
    <fb>45922</fb>
    <v>0</v>
  </rv>
  <rv s="0">
    <fb>66.16</fb>
    <v>1</v>
  </rv>
  <rv s="0">
    <fb>66.59</fb>
    <v>1</v>
  </rv>
  <rv s="0">
    <fb>66.08</fb>
    <v>1</v>
  </rv>
  <rv s="0">
    <fb>13298742</fb>
    <v>2</v>
  </rv>
  <rv s="0">
    <fb>45923</fb>
    <v>0</v>
  </rv>
  <rv s="0">
    <fb>66.709999999999994</fb>
    <v>1</v>
  </rv>
  <rv s="0">
    <fb>66.760000000000005</fb>
    <v>1</v>
  </rv>
  <rv s="0">
    <fb>65.900000000000006</fb>
    <v>1</v>
  </rv>
  <rv s="0">
    <fb>15072791</fb>
    <v>2</v>
  </rv>
  <rv s="0">
    <fb>45924</fb>
    <v>0</v>
  </rv>
  <rv s="0">
    <fb>66.45</fb>
    <v>1</v>
  </rv>
  <rv s="0">
    <fb>65.959999999999994</fb>
    <v>1</v>
  </rv>
  <rv s="0">
    <fb>14759294</fb>
    <v>2</v>
  </rv>
  <rv s="0">
    <fb>45925</fb>
    <v>0</v>
  </rv>
  <rv s="0">
    <fb>65.98</fb>
    <v>1</v>
  </rv>
  <rv s="0">
    <fb>66.75</fb>
    <v>1</v>
  </rv>
  <rv s="0">
    <fb>66.92</fb>
    <v>1</v>
  </rv>
  <rv s="0">
    <fb>65.95</fb>
    <v>1</v>
  </rv>
  <rv s="0">
    <fb>14395010</fb>
    <v>2</v>
  </rv>
  <rv s="0">
    <fb>45926</fb>
    <v>0</v>
  </rv>
  <rv s="0">
    <fb>65.67</fb>
    <v>1</v>
  </rv>
  <rv s="0">
    <fb>66.069999999999993</fb>
    <v>1</v>
  </rv>
  <rv s="0">
    <fb>66.334999999999994</fb>
    <v>1</v>
  </rv>
  <rv s="0">
    <fb>65.5</fb>
    <v>1</v>
  </rv>
  <rv s="0">
    <fb>17821566</fb>
    <v>2</v>
  </rv>
  <rv s="0">
    <fb>45929</fb>
    <v>0</v>
  </rv>
  <rv s="0">
    <fb>66.040000000000006</fb>
    <v>1</v>
  </rv>
  <rv s="0">
    <fb>65.353800000000007</fb>
    <v>1</v>
  </rv>
  <rv s="0">
    <fb>14818531</fb>
    <v>2</v>
  </rv>
  <rv s="0">
    <fb>45930</fb>
    <v>0</v>
  </rv>
  <rv s="0">
    <fb>66.319999999999993</fb>
    <v>1</v>
  </rv>
  <rv s="0">
    <fb>66.64</fb>
    <v>1</v>
  </rv>
  <rv s="0">
    <fb>65.960099999999997</fb>
    <v>1</v>
  </rv>
  <rv s="0">
    <fb>13814992</fb>
    <v>2</v>
  </rv>
  <rv s="0">
    <fb>45931</fb>
    <v>0</v>
  </rv>
  <rv s="0">
    <fb>66.504999999999995</fb>
    <v>1</v>
  </rv>
  <rv s="0">
    <fb>66.83</fb>
    <v>1</v>
  </rv>
  <rv s="0">
    <fb>66.290000000000006</fb>
    <v>1</v>
  </rv>
  <rv s="0">
    <fb>14877538</fb>
    <v>2</v>
  </rv>
  <rv s="0">
    <fb>45932</fb>
    <v>0</v>
  </rv>
  <rv s="0">
    <fb>66.525000000000006</fb>
    <v>1</v>
  </rv>
  <rv s="0">
    <fb>66.650000000000006</fb>
    <v>1</v>
  </rv>
  <rv s="0">
    <fb>65.86</fb>
    <v>1</v>
  </rv>
  <rv s="0">
    <fb>14350722</fb>
    <v>2</v>
  </rv>
  <rv s="0">
    <fb>45933</fb>
    <v>0</v>
  </rv>
  <rv s="0">
    <fb>66.984999999999999</fb>
    <v>1</v>
  </rv>
  <rv s="0">
    <fb>12249240</fb>
    <v>2</v>
  </rv>
  <rv s="0">
    <fb>45936</fb>
    <v>0</v>
  </rv>
  <rv s="0">
    <fb>66.5</fb>
    <v>1</v>
  </rv>
  <rv s="0">
    <fb>65.84</fb>
    <v>1</v>
  </rv>
  <rv s="0">
    <fb>14333320</fb>
    <v>2</v>
  </rv>
  <rv s="0">
    <fb>45937</fb>
    <v>0</v>
  </rv>
  <rv s="0">
    <fb>66.790000000000006</fb>
    <v>1</v>
  </rv>
  <rv s="0">
    <fb>66.224999999999994</fb>
    <v>1</v>
  </rv>
  <rv s="0">
    <fb>67.260000000000005</fb>
    <v>1</v>
  </rv>
  <rv s="0">
    <fb>65.87</fb>
    <v>1</v>
  </rv>
  <rv s="0">
    <fb>13328270</fb>
    <v>2</v>
  </rv>
  <rv s="0">
    <fb>45938</fb>
    <v>0</v>
  </rv>
  <rv s="0">
    <fb>66.12</fb>
    <v>1</v>
  </rv>
  <rv s="0">
    <fb>66.665000000000006</fb>
    <v>1</v>
  </rv>
  <rv s="0">
    <fb>66.06</fb>
    <v>1</v>
  </rv>
  <rv s="0">
    <fb>12606677</fb>
    <v>2</v>
  </rv>
  <rv s="0">
    <fb>45939</fb>
    <v>0</v>
  </rv>
  <rv s="0">
    <fb>66.37</fb>
    <v>1</v>
  </rv>
  <rv s="0">
    <fb>12705190</fb>
    <v>2</v>
  </rv>
  <rv s="0">
    <fb>45940</fb>
    <v>0</v>
  </rv>
  <rv s="0">
    <fb>66.52</fb>
    <v>1</v>
  </rv>
  <rv s="0">
    <fb>67.394999999999996</fb>
    <v>1</v>
  </rv>
  <rv s="0">
    <fb>66.375</fb>
    <v>1</v>
  </rv>
  <rv s="0">
    <fb>17991744</fb>
    <v>2</v>
  </rv>
  <rv s="0">
    <fb>45943</fb>
    <v>0</v>
  </rv>
  <rv s="0">
    <fb>66</fb>
    <v>1</v>
  </rv>
  <rv s="0">
    <fb>13690029</fb>
    <v>2</v>
  </rv>
  <rv s="0">
    <fb>45944</fb>
    <v>0</v>
  </rv>
  <rv s="0">
    <fb>67.510000000000005</fb>
    <v>1</v>
  </rv>
  <rv s="0">
    <fb>67.569999999999993</fb>
    <v>1</v>
  </rv>
  <rv s="0">
    <fb>66.745000000000005</fb>
    <v>1</v>
  </rv>
  <rv s="0">
    <fb>14245564</fb>
    <v>2</v>
  </rv>
  <rv s="0">
    <fb>45945</fb>
    <v>0</v>
  </rv>
  <rv s="0">
    <fb>67.08</fb>
    <v>1</v>
  </rv>
  <rv s="0">
    <fb>67.265000000000001</fb>
    <v>1</v>
  </rv>
  <rv s="0">
    <fb>67.72</fb>
    <v>1</v>
  </rv>
  <rv s="0">
    <fb>11193715</fb>
    <v>2</v>
  </rv>
  <rv s="0">
    <fb>45946</fb>
    <v>0</v>
  </rv>
  <rv s="0">
    <fb>67.59</fb>
    <v>1</v>
  </rv>
  <rv s="0">
    <fb>67.174999999999997</fb>
    <v>1</v>
  </rv>
  <rv s="0">
    <fb>15707226</fb>
    <v>2</v>
  </rv>
  <rv s="0">
    <fb>45947</fb>
    <v>0</v>
  </rv>
  <rv s="0">
    <fb>68.44</fb>
    <v>1</v>
  </rv>
  <rv s="0">
    <fb>68</fb>
    <v>1</v>
  </rv>
  <rv s="0">
    <fb>68.495000000000005</fb>
    <v>1</v>
  </rv>
  <rv s="0">
    <fb>67.8</fb>
    <v>1</v>
  </rv>
  <rv s="0">
    <fb>15541769</fb>
    <v>2</v>
  </rv>
  <rv s="0">
    <fb>45950</fb>
    <v>0</v>
  </rv>
  <rv s="0">
    <fb>68.64</fb>
    <v>1</v>
  </rv>
  <rv s="0">
    <fb>17786778</fb>
    <v>2</v>
  </rv>
  <rv s="0">
    <fb>45951</fb>
    <v>0</v>
  </rv>
  <rv s="0">
    <fb>71.22</fb>
    <v>1</v>
  </rv>
  <rv s="0">
    <fb>70.564999999999998</fb>
    <v>1</v>
  </rv>
  <rv s="0">
    <fb>71.39</fb>
    <v>1</v>
  </rv>
  <rv s="0">
    <fb>33651302</fb>
    <v>2</v>
  </rv>
  <rv s="0">
    <fb>45952</fb>
    <v>0</v>
  </rv>
  <rv s="0">
    <fb>71.614999999999995</fb>
    <v>1</v>
  </rv>
  <rv s="0">
    <fb>70.510000000000005</fb>
    <v>1</v>
  </rv>
  <rv s="0">
    <fb>18292950</fb>
    <v>2</v>
  </rv>
  <rv s="0">
    <fb>45953</fb>
    <v>0</v>
  </rv>
  <rv s="0">
    <fb>70.928700000000006</fb>
    <v>1</v>
  </rv>
  <rv s="0">
    <fb>69.72</fb>
    <v>1</v>
  </rv>
  <rv s="0">
    <fb>13989414</fb>
    <v>2</v>
  </rv>
  <rv s="0">
    <fb>45954</fb>
    <v>0</v>
  </rv>
  <rv s="0">
    <fb>69.91</fb>
    <v>1</v>
  </rv>
  <rv s="0">
    <fb>69.644999999999996</fb>
    <v>1</v>
  </rv>
  <rv s="0">
    <fb>15688202</fb>
    <v>2</v>
  </rv>
  <rv s="0">
    <fb>45957</fb>
    <v>0</v>
  </rv>
  <rv s="0">
    <fb>70.06</fb>
    <v>1</v>
  </rv>
  <rv s="0">
    <fb>69.78</fb>
    <v>1</v>
  </rv>
  <rv s="0">
    <fb>70.114999999999995</fb>
    <v>1</v>
  </rv>
  <rv s="0">
    <fb>13800049</fb>
    <v>2</v>
  </rv>
  <rv s="0">
    <fb>45958</fb>
    <v>0</v>
  </rv>
  <rv s="0">
    <fb>70.045000000000002</fb>
    <v>1</v>
  </rv>
  <rv s="0">
    <fb>12730493</fb>
    <v>2</v>
  </rv>
  <rv s="0">
    <fb>45959</fb>
    <v>0</v>
  </rv>
  <rv s="0">
    <fb>68.349999999999994</fb>
    <v>1</v>
  </rv>
  <rv s="0">
    <fb>68.155000000000001</fb>
    <v>1</v>
  </rv>
  <rv s="0">
    <fb>19789610</fb>
    <v>2</v>
  </rv>
  <rv s="0">
    <fb>45960</fb>
    <v>0</v>
  </rv>
  <rv s="0">
    <fb>68.45</fb>
    <v>1</v>
  </rv>
  <rv s="0">
    <fb>68.387200000000007</fb>
    <v>1</v>
  </rv>
  <rv s="0">
    <fb>14751735</fb>
    <v>2</v>
  </rv>
  <rv s="0">
    <fb>45961</fb>
    <v>0</v>
  </rv>
  <rv s="0">
    <fb>68.545000000000002</fb>
    <v>1</v>
  </rv>
  <rv s="0">
    <fb>69.069999999999993</fb>
    <v>1</v>
  </rv>
  <rv s="0">
    <fb>67.900099999999995</fb>
    <v>1</v>
  </rv>
  <rv s="0">
    <fb>16742681</fb>
    <v>2</v>
  </rv>
  <rv s="0">
    <fb>45964</fb>
    <v>0</v>
  </rv>
  <rv s="0">
    <fb>67.97</fb>
    <v>1</v>
  </rv>
  <rv s="0">
    <fb>68.89</fb>
    <v>1</v>
  </rv>
  <rv s="0">
    <fb>67.66</fb>
    <v>1</v>
  </rv>
  <rv s="0">
    <fb>15660354</fb>
    <v>2</v>
  </rv>
  <rv s="0">
    <fb>45965</fb>
    <v>0</v>
  </rv>
  <rv s="0">
    <fb>68.47</fb>
    <v>1</v>
  </rv>
  <rv s="0">
    <fb>68.16</fb>
    <v>1</v>
  </rv>
  <rv s="0">
    <fb>12743781</fb>
    <v>2</v>
  </rv>
  <rv s="0">
    <fb>45966</fb>
    <v>0</v>
  </rv>
  <rv s="0">
    <fb>68.174999999999997</fb>
    <v>1</v>
  </rv>
  <rv s="0">
    <fb>12850125</fb>
    <v>2</v>
  </rv>
  <rv s="0">
    <fb>45967</fb>
    <v>0</v>
  </rv>
  <rv s="0">
    <fb>68.3</fb>
    <v>1</v>
  </rv>
  <rv s="0">
    <fb>69.135000000000005</fb>
    <v>1</v>
  </rv>
  <rv s="0">
    <fb>15906651</fb>
    <v>2</v>
  </rv>
  <rv s="0">
    <fb>45968</fb>
    <v>0</v>
  </rv>
  <rv s="0">
    <fb>70.55</fb>
    <v>1</v>
  </rv>
  <rv s="0">
    <fb>69.41</fb>
    <v>1</v>
  </rv>
  <rv s="0">
    <fb>25108308</fb>
    <v>2</v>
  </rv>
  <rv s="0">
    <fb>45971</fb>
    <v>0</v>
  </rv>
  <rv s="0">
    <fb>70.010000000000005</fb>
    <v>1</v>
  </rv>
  <rv s="0">
    <fb>69.44</fb>
    <v>1</v>
  </rv>
  <rv s="0">
    <fb>15317986</fb>
    <v>2</v>
  </rv>
  <rv s="0">
    <fb>45972</fb>
    <v>0</v>
  </rv>
  <rv s="0">
    <fb>70.98</fb>
    <v>1</v>
  </rv>
  <rv s="0">
    <fb>71.75</fb>
    <v>1</v>
  </rv>
  <rv s="0">
    <fb>16160212</fb>
    <v>2</v>
  </rv>
  <rv s="1">
    <v>3</v>
    <v>KO</v>
    <v>Daily</v>
    <v>45658</v>
    <v>45973</v>
    <v>0</v>
    <v>1</v>
    <v>638984160000000000,638985665099739845,0</v>
    <v>0</v>
    <v>a1wljc</v>
    <v/>
    <v>1</v>
    <v>2</v>
    <v>3</v>
    <v>4</v>
    <v>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Open" t="a"/>
    <k n="High" t="a"/>
    <k n="Low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2</v>
      <v>1</v>
      <v>2</v>
      <v>2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ow" t="i"/>
    <k n="Date" t="i"/>
    <k n="High" t="i"/>
    <k n="Open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9527-EE66-4031-AF83-6C32705825B4}">
  <dimension ref="A1:N217"/>
  <sheetViews>
    <sheetView tabSelected="1" workbookViewId="0">
      <selection sqref="A1:A1048576"/>
    </sheetView>
  </sheetViews>
  <sheetFormatPr defaultRowHeight="15" x14ac:dyDescent="0.25"/>
  <cols>
    <col min="1" max="1" width="10.42578125" bestFit="1" customWidth="1"/>
    <col min="6" max="6" width="11.140625" bestFit="1" customWidth="1"/>
    <col min="7" max="9" width="9.140625" style="2"/>
    <col min="10" max="10" width="8.7109375" bestFit="1" customWidth="1"/>
    <col min="11" max="11" width="14.28515625" style="2" bestFit="1" customWidth="1"/>
    <col min="12" max="12" width="17.28515625" style="3" bestFit="1" customWidth="1"/>
    <col min="13" max="13" width="15.42578125" bestFit="1" customWidth="1"/>
  </cols>
  <sheetData>
    <row r="1" spans="1:14" ht="15.75" thickBot="1" x14ac:dyDescent="0.3">
      <c r="A1" s="4" t="str" cm="1">
        <f t="array" aca="1" ref="A1:F217" ca="1">_xlfn.STOCKHISTORY("KO", DATE(YEAR(TODAY()),1,1), TODAY(), 0, 1, 0, 1, 2, 3, 4, 5)</f>
        <v>Date</v>
      </c>
      <c r="B1" s="4" t="str">
        <f ca="1"/>
        <v>Close</v>
      </c>
      <c r="C1" s="4" t="str">
        <f ca="1"/>
        <v>Open</v>
      </c>
      <c r="D1" s="4" t="str">
        <f ca="1"/>
        <v>High</v>
      </c>
      <c r="E1" s="4" t="str">
        <f ca="1"/>
        <v>Low</v>
      </c>
      <c r="F1" s="4" t="str">
        <f ca="1"/>
        <v>Volume</v>
      </c>
      <c r="G1" s="5" t="s">
        <v>183</v>
      </c>
      <c r="H1" s="5" t="s">
        <v>0</v>
      </c>
      <c r="I1" s="5" t="s">
        <v>1</v>
      </c>
      <c r="J1" s="4" t="s">
        <v>3</v>
      </c>
      <c r="K1" s="5" t="s">
        <v>4</v>
      </c>
      <c r="L1" s="6" t="s">
        <v>2</v>
      </c>
      <c r="M1" s="8" t="s">
        <v>184</v>
      </c>
      <c r="N1" t="s">
        <v>185</v>
      </c>
    </row>
    <row r="2" spans="1:14" ht="15.75" thickTop="1" x14ac:dyDescent="0.25">
      <c r="A2" vm="1">
        <f ca="1"/>
        <v>45659</v>
      </c>
      <c r="B2" vm="2">
        <f ca="1"/>
        <v>61.84</v>
      </c>
      <c r="C2" vm="3">
        <f ca="1"/>
        <v>62.35</v>
      </c>
      <c r="D2" vm="4">
        <f ca="1"/>
        <v>62.75</v>
      </c>
      <c r="E2" vm="5">
        <f ca="1"/>
        <v>61.62</v>
      </c>
      <c r="F2" vm="6">
        <f ca="1"/>
        <v>12990975</v>
      </c>
      <c r="J2">
        <f ca="1">D2-E2</f>
        <v>1.1300000000000026</v>
      </c>
      <c r="L2" s="3">
        <f ca="1">(B2/$B$2)-1</f>
        <v>0</v>
      </c>
    </row>
    <row r="3" spans="1:14" x14ac:dyDescent="0.25">
      <c r="A3" vm="7">
        <f ca="1"/>
        <v>45660</v>
      </c>
      <c r="B3" vm="8">
        <f ca="1"/>
        <v>61.75</v>
      </c>
      <c r="C3" vm="9">
        <f ca="1"/>
        <v>61.9</v>
      </c>
      <c r="D3" vm="10">
        <f ca="1"/>
        <v>62.075000000000003</v>
      </c>
      <c r="E3" vm="5">
        <f ca="1"/>
        <v>61.62</v>
      </c>
      <c r="F3" vm="11">
        <f ca="1"/>
        <v>10403204</v>
      </c>
      <c r="J3">
        <f ca="1">D3-E3</f>
        <v>0.4550000000000054</v>
      </c>
      <c r="L3" s="3">
        <f ca="1">(B3/$B$2)-1</f>
        <v>-1.455368693402348E-3</v>
      </c>
    </row>
    <row r="4" spans="1:14" x14ac:dyDescent="0.25">
      <c r="A4" vm="12">
        <f ca="1"/>
        <v>45663</v>
      </c>
      <c r="B4" vm="13">
        <f ca="1"/>
        <v>60.81</v>
      </c>
      <c r="C4" vm="14">
        <f ca="1"/>
        <v>61.5</v>
      </c>
      <c r="D4" vm="15">
        <f ca="1"/>
        <v>61.564999999999998</v>
      </c>
      <c r="E4" vm="16">
        <f ca="1"/>
        <v>60.66</v>
      </c>
      <c r="F4" vm="17">
        <f ca="1"/>
        <v>17924237</v>
      </c>
      <c r="J4">
        <f ca="1">D4-E4</f>
        <v>0.90500000000000114</v>
      </c>
      <c r="L4" s="3">
        <f ca="1">(B4/$B$2)-1</f>
        <v>-1.6655886157826649E-2</v>
      </c>
    </row>
    <row r="5" spans="1:14" x14ac:dyDescent="0.25">
      <c r="A5" vm="18">
        <f ca="1"/>
        <v>45664</v>
      </c>
      <c r="B5" vm="19">
        <f ca="1"/>
        <v>60.84</v>
      </c>
      <c r="C5" vm="20">
        <f ca="1"/>
        <v>61.11</v>
      </c>
      <c r="D5" vm="21">
        <f ca="1"/>
        <v>61.717500000000001</v>
      </c>
      <c r="E5" vm="22">
        <f ca="1"/>
        <v>60.615000000000002</v>
      </c>
      <c r="F5" vm="23">
        <f ca="1"/>
        <v>17799629</v>
      </c>
      <c r="J5">
        <f ca="1">D5-E5</f>
        <v>1.1024999999999991</v>
      </c>
      <c r="L5" s="3">
        <f ca="1">(B5/$B$2)-1</f>
        <v>-1.6170763260025867E-2</v>
      </c>
    </row>
    <row r="6" spans="1:14" x14ac:dyDescent="0.25">
      <c r="A6" vm="24">
        <f ca="1"/>
        <v>45665</v>
      </c>
      <c r="B6" vm="25">
        <f ca="1"/>
        <v>61.71</v>
      </c>
      <c r="C6" vm="26">
        <f ca="1"/>
        <v>60.99</v>
      </c>
      <c r="D6" vm="27">
        <f ca="1"/>
        <v>61.77</v>
      </c>
      <c r="E6" vm="28">
        <f ca="1"/>
        <v>60.93</v>
      </c>
      <c r="F6" vm="29">
        <f ca="1"/>
        <v>14412397</v>
      </c>
      <c r="J6">
        <f ca="1">D6-E6</f>
        <v>0.84000000000000341</v>
      </c>
      <c r="L6" s="3">
        <f ca="1">(B6/$B$2)-1</f>
        <v>-2.1021992238033915E-3</v>
      </c>
    </row>
    <row r="7" spans="1:14" x14ac:dyDescent="0.25">
      <c r="A7" vm="30">
        <f ca="1"/>
        <v>45667</v>
      </c>
      <c r="B7" vm="31">
        <f ca="1"/>
        <v>61.07</v>
      </c>
      <c r="C7" vm="32">
        <f ca="1"/>
        <v>61.58</v>
      </c>
      <c r="D7" vm="33">
        <f ca="1"/>
        <v>61.65</v>
      </c>
      <c r="E7" vm="34">
        <f ca="1"/>
        <v>60.73</v>
      </c>
      <c r="F7" vm="35">
        <f ca="1"/>
        <v>22424951</v>
      </c>
      <c r="J7">
        <f ca="1">D7-E7</f>
        <v>0.92000000000000171</v>
      </c>
      <c r="L7" s="3">
        <f ca="1">(B7/$B$2)-1</f>
        <v>-1.2451487710219977E-2</v>
      </c>
    </row>
    <row r="8" spans="1:14" x14ac:dyDescent="0.25">
      <c r="A8" vm="36">
        <f ca="1"/>
        <v>45670</v>
      </c>
      <c r="B8" vm="33">
        <f ca="1"/>
        <v>61.65</v>
      </c>
      <c r="C8" vm="37">
        <f ca="1"/>
        <v>61.13</v>
      </c>
      <c r="D8" vm="38">
        <f ca="1"/>
        <v>61.844999999999999</v>
      </c>
      <c r="E8" vm="39">
        <f ca="1"/>
        <v>60.71</v>
      </c>
      <c r="F8" vm="40">
        <f ca="1"/>
        <v>18016173</v>
      </c>
      <c r="G8" s="2">
        <f ca="1">AVERAGE(B2:B8)</f>
        <v>61.381428571428565</v>
      </c>
      <c r="J8">
        <f ca="1">D8-E8</f>
        <v>1.134999999999998</v>
      </c>
      <c r="L8" s="3">
        <f ca="1">(B8/$B$2)-1</f>
        <v>-3.0724450194049568E-3</v>
      </c>
    </row>
    <row r="9" spans="1:14" x14ac:dyDescent="0.25">
      <c r="A9" vm="41">
        <f ca="1"/>
        <v>45671</v>
      </c>
      <c r="B9" vm="42">
        <f ca="1"/>
        <v>62.04</v>
      </c>
      <c r="C9" vm="43">
        <f ca="1"/>
        <v>61.655000000000001</v>
      </c>
      <c r="D9" vm="44">
        <f ca="1"/>
        <v>62.064999999999998</v>
      </c>
      <c r="E9" vm="45">
        <f ca="1"/>
        <v>61.3</v>
      </c>
      <c r="F9" vm="46">
        <f ca="1"/>
        <v>16658287</v>
      </c>
      <c r="G9" s="2">
        <f ca="1">AVERAGE(B3:B9)</f>
        <v>61.410000000000004</v>
      </c>
      <c r="J9">
        <f ca="1">D9-E9</f>
        <v>0.76500000000000057</v>
      </c>
      <c r="L9" s="3">
        <f ca="1">(B9/$B$2)-1</f>
        <v>3.2341526520049957E-3</v>
      </c>
    </row>
    <row r="10" spans="1:14" x14ac:dyDescent="0.25">
      <c r="A10" vm="47">
        <f ca="1"/>
        <v>45672</v>
      </c>
      <c r="B10" vm="27">
        <f ca="1"/>
        <v>61.77</v>
      </c>
      <c r="C10" vm="48">
        <f ca="1"/>
        <v>62.33</v>
      </c>
      <c r="D10" vm="49">
        <f ca="1"/>
        <v>62.62</v>
      </c>
      <c r="E10" vm="50">
        <f ca="1"/>
        <v>61.68</v>
      </c>
      <c r="F10" vm="51">
        <f ca="1"/>
        <v>16187203</v>
      </c>
      <c r="G10" s="2">
        <f ca="1">AVERAGE(B4:B10)</f>
        <v>61.412857142857142</v>
      </c>
      <c r="J10">
        <f ca="1">D10-E10</f>
        <v>0.93999999999999773</v>
      </c>
      <c r="L10" s="3">
        <f ca="1">(B10/$B$2)-1</f>
        <v>-1.1319534282018262E-3</v>
      </c>
    </row>
    <row r="11" spans="1:14" x14ac:dyDescent="0.25">
      <c r="A11" vm="52">
        <f ca="1"/>
        <v>45673</v>
      </c>
      <c r="B11" vm="53">
        <f ca="1"/>
        <v>62.25</v>
      </c>
      <c r="C11" vm="54">
        <f ca="1"/>
        <v>61.42</v>
      </c>
      <c r="D11" vm="55">
        <f ca="1"/>
        <v>62.3</v>
      </c>
      <c r="E11" vm="56">
        <f ca="1"/>
        <v>61.32</v>
      </c>
      <c r="F11" vm="57">
        <f ca="1"/>
        <v>12585528</v>
      </c>
      <c r="G11" s="2">
        <f ca="1">AVERAGE(B5:B11)</f>
        <v>61.618571428571428</v>
      </c>
      <c r="J11">
        <f ca="1">D11-E11</f>
        <v>0.97999999999999687</v>
      </c>
      <c r="L11" s="3">
        <f ca="1">(B11/$B$2)-1</f>
        <v>6.6300129366105853E-3</v>
      </c>
    </row>
    <row r="12" spans="1:14" x14ac:dyDescent="0.25">
      <c r="A12" vm="58">
        <f ca="1"/>
        <v>45674</v>
      </c>
      <c r="B12" vm="59">
        <f ca="1"/>
        <v>62.71</v>
      </c>
      <c r="C12" vm="60">
        <f ca="1"/>
        <v>62.31</v>
      </c>
      <c r="D12" vm="61">
        <f ca="1"/>
        <v>62.765000000000001</v>
      </c>
      <c r="E12" vm="62">
        <f ca="1"/>
        <v>62.17</v>
      </c>
      <c r="F12" vm="63">
        <f ca="1"/>
        <v>17948868</v>
      </c>
      <c r="G12" s="2">
        <f ca="1">AVERAGE(B6:B12)</f>
        <v>61.885714285714286</v>
      </c>
      <c r="J12">
        <f ca="1">D12-E12</f>
        <v>0.59499999999999886</v>
      </c>
      <c r="L12" s="3">
        <f ca="1">(B12/$B$2)-1</f>
        <v>1.4068564036222364E-2</v>
      </c>
    </row>
    <row r="13" spans="1:14" x14ac:dyDescent="0.25">
      <c r="A13" vm="64">
        <f ca="1"/>
        <v>45678</v>
      </c>
      <c r="B13" vm="65">
        <f ca="1"/>
        <v>62.42</v>
      </c>
      <c r="C13" vm="66">
        <f ca="1"/>
        <v>62.9</v>
      </c>
      <c r="D13" vm="67">
        <f ca="1"/>
        <v>63.23</v>
      </c>
      <c r="E13" vm="55">
        <f ca="1"/>
        <v>62.3</v>
      </c>
      <c r="F13" vm="68">
        <f ca="1"/>
        <v>19817068</v>
      </c>
      <c r="G13" s="2">
        <f ca="1">AVERAGE(B7:B13)</f>
        <v>61.98714285714285</v>
      </c>
      <c r="J13">
        <f ca="1">D13-E13</f>
        <v>0.92999999999999972</v>
      </c>
      <c r="L13" s="3">
        <f ca="1">(B13/$B$2)-1</f>
        <v>9.3790426908149094E-3</v>
      </c>
    </row>
    <row r="14" spans="1:14" x14ac:dyDescent="0.25">
      <c r="A14" vm="69">
        <f ca="1"/>
        <v>45679</v>
      </c>
      <c r="B14" vm="70">
        <f ca="1"/>
        <v>61.78</v>
      </c>
      <c r="C14" vm="71">
        <f ca="1"/>
        <v>62.12</v>
      </c>
      <c r="D14" vm="72">
        <f ca="1"/>
        <v>62.284999999999997</v>
      </c>
      <c r="E14" vm="73">
        <f ca="1"/>
        <v>61.66</v>
      </c>
      <c r="F14" vm="74">
        <f ca="1"/>
        <v>18191886</v>
      </c>
      <c r="G14" s="2">
        <f ca="1">AVERAGE(B8:B14)</f>
        <v>62.088571428571427</v>
      </c>
      <c r="J14">
        <f ca="1">D14-E14</f>
        <v>0.625</v>
      </c>
      <c r="L14" s="3">
        <f ca="1">(B14/$B$2)-1</f>
        <v>-9.7024579560156532E-4</v>
      </c>
    </row>
    <row r="15" spans="1:14" x14ac:dyDescent="0.25">
      <c r="A15" vm="75">
        <f ca="1"/>
        <v>45680</v>
      </c>
      <c r="B15" vm="76">
        <f ca="1"/>
        <v>61.53</v>
      </c>
      <c r="C15" vm="77">
        <f ca="1"/>
        <v>61.8</v>
      </c>
      <c r="D15" vm="78">
        <f ca="1"/>
        <v>61.98</v>
      </c>
      <c r="E15" vm="79">
        <f ca="1"/>
        <v>61.37</v>
      </c>
      <c r="F15" vm="80">
        <f ca="1"/>
        <v>16528423</v>
      </c>
      <c r="G15" s="2">
        <f ca="1">AVERAGE(B9:B15)</f>
        <v>62.071428571428569</v>
      </c>
      <c r="J15">
        <f ca="1">D15-E15</f>
        <v>0.60999999999999943</v>
      </c>
      <c r="L15" s="3">
        <f ca="1">(B15/$B$2)-1</f>
        <v>-5.0129366106080875E-3</v>
      </c>
      <c r="M15">
        <f ca="1">_xlfn.STDEV.P(L2:L15)</f>
        <v>8.5789142423726081E-3</v>
      </c>
    </row>
    <row r="16" spans="1:14" x14ac:dyDescent="0.25">
      <c r="A16" vm="81">
        <f ca="1"/>
        <v>45681</v>
      </c>
      <c r="B16" vm="82">
        <f ca="1"/>
        <v>61.92</v>
      </c>
      <c r="C16" vm="83">
        <f ca="1"/>
        <v>61.72</v>
      </c>
      <c r="D16" vm="84">
        <f ca="1"/>
        <v>62.01</v>
      </c>
      <c r="E16" vm="85">
        <f ca="1"/>
        <v>61.435000000000002</v>
      </c>
      <c r="F16" vm="86">
        <f ca="1"/>
        <v>19244604</v>
      </c>
      <c r="G16" s="2">
        <f ca="1">AVERAGE(B10:B16)</f>
        <v>62.054285714285719</v>
      </c>
      <c r="J16">
        <f ca="1">D16-E16</f>
        <v>0.57499999999999574</v>
      </c>
      <c r="L16" s="3">
        <f ca="1">(B16/$B$2)-1</f>
        <v>1.2936610608020871E-3</v>
      </c>
      <c r="M16">
        <f ca="1">_xlfn.STDEV.P(L3:L16)</f>
        <v>8.6051251551400171E-3</v>
      </c>
    </row>
    <row r="17" spans="1:14" x14ac:dyDescent="0.25">
      <c r="A17" vm="87">
        <f ca="1"/>
        <v>45684</v>
      </c>
      <c r="B17" vm="88">
        <f ca="1"/>
        <v>63.87</v>
      </c>
      <c r="C17" vm="89">
        <f ca="1"/>
        <v>62.87</v>
      </c>
      <c r="D17" vm="90">
        <f ca="1"/>
        <v>64.180000000000007</v>
      </c>
      <c r="E17" vm="91">
        <f ca="1"/>
        <v>62.472999999999999</v>
      </c>
      <c r="F17" vm="92">
        <f ca="1"/>
        <v>20742915</v>
      </c>
      <c r="G17" s="2">
        <f ca="1">AVERAGE(B11:B17)</f>
        <v>62.354285714285716</v>
      </c>
      <c r="J17">
        <f ca="1">D17-E17</f>
        <v>1.7070000000000078</v>
      </c>
      <c r="L17" s="3">
        <f ca="1">(B17/$B$2)-1</f>
        <v>3.2826649417852405E-2</v>
      </c>
      <c r="M17">
        <f ca="1">_xlfn.STDEV.P(L4:L17)</f>
        <v>1.2386003503379706E-2</v>
      </c>
    </row>
    <row r="18" spans="1:14" x14ac:dyDescent="0.25">
      <c r="A18" vm="93">
        <f ca="1"/>
        <v>45685</v>
      </c>
      <c r="B18" vm="94">
        <f ca="1"/>
        <v>62.36</v>
      </c>
      <c r="C18" vm="95">
        <f ca="1"/>
        <v>63.51</v>
      </c>
      <c r="D18" vm="96">
        <f ca="1"/>
        <v>64.040000000000006</v>
      </c>
      <c r="E18" vm="97">
        <f ca="1"/>
        <v>62.28</v>
      </c>
      <c r="F18" vm="98">
        <f ca="1"/>
        <v>14956031</v>
      </c>
      <c r="G18" s="2">
        <f ca="1">AVERAGE(B12:B18)</f>
        <v>62.370000000000005</v>
      </c>
      <c r="J18">
        <f ca="1">D18-E18</f>
        <v>1.7600000000000051</v>
      </c>
      <c r="L18" s="3">
        <f ca="1">(B18/$B$2)-1</f>
        <v>8.4087968952133441E-3</v>
      </c>
      <c r="M18">
        <f ca="1">_xlfn.STDEV.P(L5:L18)</f>
        <v>1.1529087442568916E-2</v>
      </c>
    </row>
    <row r="19" spans="1:14" x14ac:dyDescent="0.25">
      <c r="A19" vm="99">
        <f ca="1"/>
        <v>45686</v>
      </c>
      <c r="B19" vm="100">
        <f ca="1"/>
        <v>62.83</v>
      </c>
      <c r="C19" vm="101">
        <f ca="1"/>
        <v>62.56</v>
      </c>
      <c r="D19" vm="102">
        <f ca="1"/>
        <v>63.36</v>
      </c>
      <c r="E19" vm="103">
        <f ca="1"/>
        <v>62.55</v>
      </c>
      <c r="F19" vm="104">
        <f ca="1"/>
        <v>11325635</v>
      </c>
      <c r="G19" s="2">
        <f ca="1">AVERAGE(B13:B19)</f>
        <v>62.387142857142862</v>
      </c>
      <c r="J19">
        <f ca="1">D19-E19</f>
        <v>0.81000000000000227</v>
      </c>
      <c r="L19" s="3">
        <f ca="1">(B19/$B$2)-1</f>
        <v>1.6009055627425495E-2</v>
      </c>
      <c r="M19">
        <f ca="1">_xlfn.STDEV.P(L6:L19)</f>
        <v>1.0760825379903695E-2</v>
      </c>
    </row>
    <row r="20" spans="1:14" x14ac:dyDescent="0.25">
      <c r="A20" vm="105">
        <f ca="1"/>
        <v>45687</v>
      </c>
      <c r="B20" vm="106">
        <f ca="1"/>
        <v>64.05</v>
      </c>
      <c r="C20" vm="107">
        <f ca="1"/>
        <v>63.85</v>
      </c>
      <c r="D20" vm="108">
        <f ca="1"/>
        <v>64.284999999999997</v>
      </c>
      <c r="E20" vm="67">
        <f ca="1"/>
        <v>63.23</v>
      </c>
      <c r="F20" vm="109">
        <f ca="1"/>
        <v>13200977</v>
      </c>
      <c r="G20" s="2">
        <f ca="1">AVERAGE(B14:B20)</f>
        <v>62.620000000000005</v>
      </c>
      <c r="J20">
        <f ca="1">D20-E20</f>
        <v>1.0549999999999997</v>
      </c>
      <c r="L20" s="3">
        <f ca="1">(B20/$B$2)-1</f>
        <v>3.5737386804657101E-2</v>
      </c>
      <c r="M20">
        <f ca="1">_xlfn.STDEV.P(L7:L20)</f>
        <v>1.3171496453451751E-2</v>
      </c>
    </row>
    <row r="21" spans="1:14" x14ac:dyDescent="0.25">
      <c r="A21" vm="110">
        <f ca="1"/>
        <v>45688</v>
      </c>
      <c r="B21" vm="111">
        <f ca="1"/>
        <v>63.48</v>
      </c>
      <c r="C21" vm="112">
        <f ca="1"/>
        <v>63.7</v>
      </c>
      <c r="D21" vm="113">
        <f ca="1"/>
        <v>63.93</v>
      </c>
      <c r="E21" vm="114">
        <f ca="1"/>
        <v>63.39</v>
      </c>
      <c r="F21" vm="115">
        <f ca="1"/>
        <v>12102060</v>
      </c>
      <c r="G21" s="2">
        <f ca="1">AVERAGE(B15:B21)</f>
        <v>62.862857142857145</v>
      </c>
      <c r="H21" s="2">
        <f t="shared" ref="H21:H52" ca="1" si="0">AVERAGE(B2:B21)</f>
        <v>62.133999999999993</v>
      </c>
      <c r="J21">
        <f ca="1">D21-E21</f>
        <v>0.53999999999999915</v>
      </c>
      <c r="K21" s="2">
        <f ca="1">AVERAGE(J2:J21)</f>
        <v>0.91897500000000076</v>
      </c>
      <c r="L21" s="3">
        <f ca="1">(B21/$B$2)-1</f>
        <v>2.6520051746442341E-2</v>
      </c>
      <c r="M21">
        <f ca="1">_xlfn.STDEV.P(L8:L21)</f>
        <v>1.277369146838834E-2</v>
      </c>
      <c r="N21">
        <f ca="1">AVERAGE(F2:F21)</f>
        <v>16173052.550000001</v>
      </c>
    </row>
    <row r="22" spans="1:14" x14ac:dyDescent="0.25">
      <c r="A22" vm="116">
        <f ca="1"/>
        <v>45691</v>
      </c>
      <c r="B22" vm="117">
        <f ca="1"/>
        <v>63.35</v>
      </c>
      <c r="C22" vm="118">
        <f ca="1"/>
        <v>63.18</v>
      </c>
      <c r="D22" vm="119">
        <f ca="1"/>
        <v>63.629899999999999</v>
      </c>
      <c r="E22" vm="120">
        <f ca="1"/>
        <v>62.43</v>
      </c>
      <c r="F22" vm="121">
        <f ca="1"/>
        <v>12067883</v>
      </c>
      <c r="G22" s="2">
        <f ca="1">AVERAGE(B16:B22)</f>
        <v>63.122857142857143</v>
      </c>
      <c r="H22" s="2">
        <f t="shared" ca="1" si="0"/>
        <v>62.209499999999991</v>
      </c>
      <c r="J22">
        <f ca="1">D22-E22</f>
        <v>1.1998999999999995</v>
      </c>
      <c r="K22" s="2">
        <f t="shared" ref="K22:K85" ca="1" si="1">AVERAGE(J3:J22)</f>
        <v>0.92247000000000057</v>
      </c>
      <c r="L22" s="3">
        <f ca="1">(B22/$B$2)-1</f>
        <v>2.4417852522639061E-2</v>
      </c>
      <c r="M22">
        <f ca="1">_xlfn.STDEV.P(L9:L22)</f>
        <v>1.2682814198674418E-2</v>
      </c>
      <c r="N22">
        <f t="shared" ref="N22:N85" ca="1" si="2">AVERAGE(F3:F22)</f>
        <v>16126897.949999999</v>
      </c>
    </row>
    <row r="23" spans="1:14" x14ac:dyDescent="0.25">
      <c r="A23" vm="122">
        <f ca="1"/>
        <v>45692</v>
      </c>
      <c r="B23" vm="123">
        <f ca="1"/>
        <v>62.67</v>
      </c>
      <c r="C23" vm="124">
        <f ca="1"/>
        <v>63.61</v>
      </c>
      <c r="D23" vm="125">
        <f ca="1"/>
        <v>63.63</v>
      </c>
      <c r="E23" vm="3">
        <f ca="1"/>
        <v>62.35</v>
      </c>
      <c r="F23" vm="126">
        <f ca="1"/>
        <v>15677998</v>
      </c>
      <c r="G23" s="2">
        <f ca="1">AVERAGE(B17:B23)</f>
        <v>63.230000000000011</v>
      </c>
      <c r="H23" s="2">
        <f t="shared" ca="1" si="0"/>
        <v>62.255499999999998</v>
      </c>
      <c r="J23">
        <f ca="1">D23-E23</f>
        <v>1.2800000000000011</v>
      </c>
      <c r="K23" s="2">
        <f t="shared" ca="1" si="1"/>
        <v>0.96372000000000035</v>
      </c>
      <c r="L23" s="3">
        <f ca="1">(B23/$B$2)-1</f>
        <v>1.3421733505821543E-2</v>
      </c>
      <c r="M23">
        <f ca="1">_xlfn.STDEV.P(L10:L23)</f>
        <v>1.2434852599078254E-2</v>
      </c>
      <c r="N23">
        <f t="shared" ca="1" si="2"/>
        <v>16390637.65</v>
      </c>
    </row>
    <row r="24" spans="1:14" x14ac:dyDescent="0.25">
      <c r="A24" vm="127">
        <f ca="1"/>
        <v>45693</v>
      </c>
      <c r="B24" vm="128">
        <f ca="1"/>
        <v>63.12</v>
      </c>
      <c r="C24" vm="129">
        <f ca="1"/>
        <v>62.72</v>
      </c>
      <c r="D24" vm="130">
        <f ca="1"/>
        <v>63.29</v>
      </c>
      <c r="E24" vm="131">
        <f ca="1"/>
        <v>62.585000000000001</v>
      </c>
      <c r="F24" vm="132">
        <f ca="1"/>
        <v>10686754</v>
      </c>
      <c r="G24" s="2">
        <f ca="1">AVERAGE(B18:B24)</f>
        <v>63.122857142857143</v>
      </c>
      <c r="H24" s="2">
        <f t="shared" ca="1" si="0"/>
        <v>62.370999999999981</v>
      </c>
      <c r="J24">
        <f ca="1">D24-E24</f>
        <v>0.70499999999999829</v>
      </c>
      <c r="K24" s="2">
        <f t="shared" ca="1" si="1"/>
        <v>0.95372000000000023</v>
      </c>
      <c r="L24" s="3">
        <f ca="1">(B24/$B$2)-1</f>
        <v>2.0698576972832949E-2</v>
      </c>
      <c r="M24">
        <f ca="1">_xlfn.STDEV.P(L11:L24)</f>
        <v>1.1926943290702933E-2</v>
      </c>
      <c r="N24">
        <f t="shared" ca="1" si="2"/>
        <v>16028763.5</v>
      </c>
    </row>
    <row r="25" spans="1:14" x14ac:dyDescent="0.25">
      <c r="A25" vm="133">
        <f ca="1"/>
        <v>45694</v>
      </c>
      <c r="B25" vm="102">
        <f ca="1"/>
        <v>63.36</v>
      </c>
      <c r="C25" vm="134">
        <f ca="1"/>
        <v>63.62</v>
      </c>
      <c r="D25" vm="135">
        <f ca="1"/>
        <v>63.74</v>
      </c>
      <c r="E25" vm="136">
        <f ca="1"/>
        <v>62.91</v>
      </c>
      <c r="F25" vm="137">
        <f ca="1"/>
        <v>13423408</v>
      </c>
      <c r="G25" s="2">
        <f ca="1">AVERAGE(B19:B25)</f>
        <v>63.265714285714289</v>
      </c>
      <c r="H25" s="2">
        <f t="shared" ca="1" si="0"/>
        <v>62.496999999999993</v>
      </c>
      <c r="J25">
        <f ca="1">D25-E25</f>
        <v>0.8300000000000054</v>
      </c>
      <c r="K25" s="2">
        <f t="shared" ca="1" si="1"/>
        <v>0.94009500000000057</v>
      </c>
      <c r="L25" s="3">
        <f ca="1">(B25/$B$2)-1</f>
        <v>2.4579560155239211E-2</v>
      </c>
      <c r="M25">
        <f ca="1">_xlfn.STDEV.P(L12:L25)</f>
        <v>1.1973414588910028E-2</v>
      </c>
      <c r="N25">
        <f t="shared" ca="1" si="2"/>
        <v>15809952.449999999</v>
      </c>
    </row>
    <row r="26" spans="1:14" x14ac:dyDescent="0.25">
      <c r="A26" vm="138">
        <f ca="1"/>
        <v>45695</v>
      </c>
      <c r="B26" vm="139">
        <f ca="1"/>
        <v>63.84</v>
      </c>
      <c r="C26" vm="140">
        <f ca="1"/>
        <v>63.43</v>
      </c>
      <c r="D26" vm="141">
        <f ca="1"/>
        <v>63.92</v>
      </c>
      <c r="E26" vm="142">
        <f ca="1"/>
        <v>63.27</v>
      </c>
      <c r="F26" vm="143">
        <f ca="1"/>
        <v>13184674</v>
      </c>
      <c r="G26" s="2">
        <f ca="1">AVERAGE(B20:B26)</f>
        <v>63.410000000000004</v>
      </c>
      <c r="H26" s="2">
        <f t="shared" ca="1" si="0"/>
        <v>62.603499999999983</v>
      </c>
      <c r="J26">
        <f ca="1">D26-E26</f>
        <v>0.64999999999999858</v>
      </c>
      <c r="K26" s="2">
        <f t="shared" ca="1" si="1"/>
        <v>0.93059500000000028</v>
      </c>
      <c r="L26" s="3">
        <f ca="1">(B26/$B$2)-1</f>
        <v>3.2341526520051733E-2</v>
      </c>
      <c r="M26">
        <f ca="1">_xlfn.STDEV.P(L13:L26)</f>
        <v>1.2686852990019103E-2</v>
      </c>
      <c r="N26">
        <f t="shared" ca="1" si="2"/>
        <v>15748566.300000001</v>
      </c>
    </row>
    <row r="27" spans="1:14" x14ac:dyDescent="0.25">
      <c r="A27" vm="144">
        <f ca="1"/>
        <v>45698</v>
      </c>
      <c r="B27" vm="145">
        <f ca="1"/>
        <v>64.55</v>
      </c>
      <c r="C27" vm="146">
        <f ca="1"/>
        <v>64.099999999999994</v>
      </c>
      <c r="D27" vm="147">
        <f ca="1"/>
        <v>64.650000000000006</v>
      </c>
      <c r="E27" vm="148">
        <f ca="1"/>
        <v>63.66</v>
      </c>
      <c r="F27" vm="149">
        <f ca="1"/>
        <v>16154300</v>
      </c>
      <c r="G27" s="2">
        <f ca="1">AVERAGE(B21:B27)</f>
        <v>63.48142857142858</v>
      </c>
      <c r="H27" s="2">
        <f t="shared" ca="1" si="0"/>
        <v>62.777499999999989</v>
      </c>
      <c r="J27">
        <f ca="1">D27-E27</f>
        <v>0.99000000000000909</v>
      </c>
      <c r="K27" s="2">
        <f t="shared" ca="1" si="1"/>
        <v>0.93409500000000067</v>
      </c>
      <c r="L27" s="3">
        <f ca="1">(B27/$B$2)-1</f>
        <v>4.3822768434669923E-2</v>
      </c>
      <c r="M27">
        <f ca="1">_xlfn.STDEV.P(L14:L27)</f>
        <v>1.4197349220311312E-2</v>
      </c>
      <c r="N27">
        <f t="shared" ca="1" si="2"/>
        <v>15435033.75</v>
      </c>
    </row>
    <row r="28" spans="1:14" x14ac:dyDescent="0.25">
      <c r="A28" vm="150">
        <f ca="1"/>
        <v>45699</v>
      </c>
      <c r="B28" vm="151">
        <f ca="1"/>
        <v>67.599999999999994</v>
      </c>
      <c r="C28" vm="152">
        <f ca="1"/>
        <v>67.5</v>
      </c>
      <c r="D28" vm="153">
        <f ca="1"/>
        <v>67.67</v>
      </c>
      <c r="E28" vm="154">
        <f ca="1"/>
        <v>66.41</v>
      </c>
      <c r="F28" vm="155">
        <f ca="1"/>
        <v>30589148</v>
      </c>
      <c r="G28" s="2">
        <f ca="1">AVERAGE(B22:B28)</f>
        <v>64.070000000000007</v>
      </c>
      <c r="H28" s="2">
        <f t="shared" ca="1" si="0"/>
        <v>63.074999999999989</v>
      </c>
      <c r="J28">
        <f ca="1">D28-E28</f>
        <v>1.2600000000000051</v>
      </c>
      <c r="K28" s="2">
        <f t="shared" ca="1" si="1"/>
        <v>0.94034500000000099</v>
      </c>
      <c r="L28" s="3">
        <f ca="1">(B28/$B$2)-1</f>
        <v>9.3143596377748938E-2</v>
      </c>
      <c r="M28">
        <f ca="1">_xlfn.STDEV.P(L15:L28)</f>
        <v>2.2644563245900893E-2</v>
      </c>
      <c r="N28">
        <f t="shared" ca="1" si="2"/>
        <v>16063682.5</v>
      </c>
    </row>
    <row r="29" spans="1:14" x14ac:dyDescent="0.25">
      <c r="A29" vm="156">
        <f ca="1"/>
        <v>45700</v>
      </c>
      <c r="B29" vm="157">
        <f ca="1"/>
        <v>68.709999999999994</v>
      </c>
      <c r="C29" vm="158">
        <f ca="1"/>
        <v>66.87</v>
      </c>
      <c r="D29" vm="159">
        <f ca="1"/>
        <v>68.819999999999993</v>
      </c>
      <c r="E29" vm="158">
        <f ca="1"/>
        <v>66.87</v>
      </c>
      <c r="F29" vm="160">
        <f ca="1"/>
        <v>26033764</v>
      </c>
      <c r="G29" s="2">
        <f ca="1">AVERAGE(B23:B29)</f>
        <v>64.835714285714275</v>
      </c>
      <c r="H29" s="2">
        <f t="shared" ca="1" si="0"/>
        <v>63.408499999999989</v>
      </c>
      <c r="J29">
        <f ca="1">D29-E29</f>
        <v>1.9499999999999886</v>
      </c>
      <c r="K29" s="2">
        <f t="shared" ca="1" si="1"/>
        <v>0.99959500000000046</v>
      </c>
      <c r="L29" s="3">
        <f ca="1">(B29/$B$2)-1</f>
        <v>0.11109314359637756</v>
      </c>
      <c r="M29">
        <f ca="1">_xlfn.STDEV.P(L16:L29)</f>
        <v>2.9791184862514503E-2</v>
      </c>
      <c r="N29">
        <f t="shared" ca="1" si="2"/>
        <v>16532456.35</v>
      </c>
    </row>
    <row r="30" spans="1:14" x14ac:dyDescent="0.25">
      <c r="A30" vm="161">
        <f ca="1"/>
        <v>45701</v>
      </c>
      <c r="B30" vm="162">
        <f ca="1"/>
        <v>69.5</v>
      </c>
      <c r="C30" vm="163">
        <f ca="1"/>
        <v>69</v>
      </c>
      <c r="D30" vm="164">
        <f ca="1"/>
        <v>69.61</v>
      </c>
      <c r="E30" vm="165">
        <f ca="1"/>
        <v>68.762</v>
      </c>
      <c r="F30" vm="166">
        <f ca="1"/>
        <v>24393148</v>
      </c>
      <c r="G30" s="2">
        <f ca="1">AVERAGE(B24:B30)</f>
        <v>65.811428571428578</v>
      </c>
      <c r="H30" s="2">
        <f t="shared" ca="1" si="0"/>
        <v>63.795000000000002</v>
      </c>
      <c r="J30">
        <f ca="1">D30-E30</f>
        <v>0.84799999999999898</v>
      </c>
      <c r="K30" s="2">
        <f t="shared" ca="1" si="1"/>
        <v>0.99499500000000052</v>
      </c>
      <c r="L30" s="3">
        <f ca="1">(B30/$B$2)-1</f>
        <v>0.12386804657179806</v>
      </c>
      <c r="M30">
        <f ca="1">_xlfn.STDEV.P(L17:L30)</f>
        <v>3.6068387560609143E-2</v>
      </c>
      <c r="N30">
        <f t="shared" ca="1" si="2"/>
        <v>16942753.600000001</v>
      </c>
    </row>
    <row r="31" spans="1:14" x14ac:dyDescent="0.25">
      <c r="A31" vm="167">
        <f ca="1"/>
        <v>45702</v>
      </c>
      <c r="B31" vm="168">
        <f ca="1"/>
        <v>68.87</v>
      </c>
      <c r="C31" vm="169">
        <f ca="1"/>
        <v>69.364999999999995</v>
      </c>
      <c r="D31" vm="170">
        <f ca="1"/>
        <v>70.03</v>
      </c>
      <c r="E31" vm="171">
        <f ca="1"/>
        <v>68.760000000000005</v>
      </c>
      <c r="F31" vm="172">
        <f ca="1"/>
        <v>20779090</v>
      </c>
      <c r="G31" s="2">
        <f ca="1">AVERAGE(B25:B31)</f>
        <v>66.632857142857148</v>
      </c>
      <c r="H31" s="2">
        <f t="shared" ca="1" si="0"/>
        <v>64.126000000000005</v>
      </c>
      <c r="J31">
        <f ca="1">D31-E31</f>
        <v>1.269999999999996</v>
      </c>
      <c r="K31" s="2">
        <f t="shared" ca="1" si="1"/>
        <v>1.0094950000000005</v>
      </c>
      <c r="L31" s="3">
        <f ca="1">(B31/$B$2)-1</f>
        <v>0.11368046571798196</v>
      </c>
      <c r="M31">
        <f ca="1">_xlfn.STDEV.P(L18:L31)</f>
        <v>4.0162003016449885E-2</v>
      </c>
      <c r="N31">
        <f t="shared" ca="1" si="2"/>
        <v>17352431.699999999</v>
      </c>
    </row>
    <row r="32" spans="1:14" x14ac:dyDescent="0.25">
      <c r="A32" vm="173">
        <f ca="1"/>
        <v>45706</v>
      </c>
      <c r="B32" vm="174">
        <f ca="1"/>
        <v>69.05</v>
      </c>
      <c r="C32" vm="175">
        <f ca="1"/>
        <v>68.55</v>
      </c>
      <c r="D32" vm="176">
        <f ca="1"/>
        <v>69.37</v>
      </c>
      <c r="E32" vm="177">
        <f ca="1"/>
        <v>68.42</v>
      </c>
      <c r="F32" vm="178">
        <f ca="1"/>
        <v>15569122</v>
      </c>
      <c r="G32" s="2">
        <f ca="1">AVERAGE(B26:B32)</f>
        <v>67.445714285714288</v>
      </c>
      <c r="H32" s="2">
        <f t="shared" ca="1" si="0"/>
        <v>64.442999999999998</v>
      </c>
      <c r="J32">
        <f ca="1">D32-E32</f>
        <v>0.95000000000000284</v>
      </c>
      <c r="K32" s="2">
        <f t="shared" ca="1" si="1"/>
        <v>1.0272450000000006</v>
      </c>
      <c r="L32" s="3">
        <f ca="1">(B32/$B$2)-1</f>
        <v>0.11659120310478643</v>
      </c>
      <c r="M32">
        <f ca="1">_xlfn.STDEV.P(L19:L32)</f>
        <v>4.1952222513332388E-2</v>
      </c>
      <c r="N32">
        <f t="shared" ca="1" si="2"/>
        <v>17233444.399999999</v>
      </c>
    </row>
    <row r="33" spans="1:14" x14ac:dyDescent="0.25">
      <c r="A33" vm="179">
        <f ca="1"/>
        <v>45707</v>
      </c>
      <c r="B33" vm="180">
        <f ca="1"/>
        <v>70.069999999999993</v>
      </c>
      <c r="C33" vm="181">
        <f ca="1"/>
        <v>69.209999999999994</v>
      </c>
      <c r="D33" vm="182">
        <f ca="1"/>
        <v>70.13</v>
      </c>
      <c r="E33" vm="183">
        <f ca="1"/>
        <v>69.17</v>
      </c>
      <c r="F33" vm="184">
        <f ca="1"/>
        <v>16032270</v>
      </c>
      <c r="G33" s="2">
        <f ca="1">AVERAGE(B27:B33)</f>
        <v>68.335714285714275</v>
      </c>
      <c r="H33" s="2">
        <f t="shared" ca="1" si="0"/>
        <v>64.825499999999991</v>
      </c>
      <c r="J33">
        <f ca="1">D33-E33</f>
        <v>0.95999999999999375</v>
      </c>
      <c r="K33" s="2">
        <f t="shared" ca="1" si="1"/>
        <v>1.0287450000000002</v>
      </c>
      <c r="L33" s="3">
        <f ca="1">(B33/$B$2)-1</f>
        <v>0.13308538163001282</v>
      </c>
      <c r="M33">
        <f ca="1">_xlfn.STDEV.P(L20:L33)</f>
        <v>4.4564733698381889E-2</v>
      </c>
      <c r="N33">
        <f t="shared" ca="1" si="2"/>
        <v>17044204.5</v>
      </c>
    </row>
    <row r="34" spans="1:14" x14ac:dyDescent="0.25">
      <c r="A34" vm="185">
        <f ca="1"/>
        <v>45708</v>
      </c>
      <c r="B34" vm="186">
        <f ca="1"/>
        <v>70.040000000000006</v>
      </c>
      <c r="C34" vm="187">
        <f ca="1"/>
        <v>69.709999999999994</v>
      </c>
      <c r="D34" vm="180">
        <f ca="1"/>
        <v>70.069999999999993</v>
      </c>
      <c r="E34" vm="188">
        <f ca="1"/>
        <v>69.42</v>
      </c>
      <c r="F34" vm="189">
        <f ca="1"/>
        <v>13398010</v>
      </c>
      <c r="G34" s="2">
        <f ca="1">AVERAGE(B28:B34)</f>
        <v>69.12</v>
      </c>
      <c r="H34" s="2">
        <f t="shared" ca="1" si="0"/>
        <v>65.238500000000002</v>
      </c>
      <c r="J34">
        <f ca="1">D34-E34</f>
        <v>0.64999999999999147</v>
      </c>
      <c r="K34" s="2">
        <f t="shared" ca="1" si="1"/>
        <v>1.029995</v>
      </c>
      <c r="L34" s="3">
        <f ca="1">(B34/$B$2)-1</f>
        <v>0.13260025873221215</v>
      </c>
      <c r="M34">
        <f ca="1">_xlfn.STDEV.P(L21:L34)</f>
        <v>4.6908732186796122E-2</v>
      </c>
      <c r="N34">
        <f t="shared" ca="1" si="2"/>
        <v>16804510.699999999</v>
      </c>
    </row>
    <row r="35" spans="1:14" x14ac:dyDescent="0.25">
      <c r="A35" vm="190">
        <f ca="1"/>
        <v>45709</v>
      </c>
      <c r="B35" vm="191">
        <f ca="1"/>
        <v>71.349999999999994</v>
      </c>
      <c r="C35" vm="192">
        <f ca="1"/>
        <v>70.319999999999993</v>
      </c>
      <c r="D35" vm="193">
        <f ca="1"/>
        <v>71.599999999999994</v>
      </c>
      <c r="E35" vm="182">
        <f ca="1"/>
        <v>70.13</v>
      </c>
      <c r="F35" vm="194">
        <f ca="1"/>
        <v>21662252</v>
      </c>
      <c r="G35" s="2">
        <f ca="1">AVERAGE(B29:B35)</f>
        <v>69.655714285714296</v>
      </c>
      <c r="H35" s="2">
        <f t="shared" ca="1" si="0"/>
        <v>65.729499999999987</v>
      </c>
      <c r="J35">
        <f ca="1">D35-E35</f>
        <v>1.4699999999999989</v>
      </c>
      <c r="K35" s="2">
        <f t="shared" ca="1" si="1"/>
        <v>1.0729949999999999</v>
      </c>
      <c r="L35" s="3">
        <f ca="1">(B35/$B$2)-1</f>
        <v>0.15378395860284599</v>
      </c>
      <c r="M35">
        <f ca="1">_xlfn.STDEV.P(L22:L35)</f>
        <v>4.9450871990180084E-2</v>
      </c>
      <c r="N35">
        <f t="shared" ca="1" si="2"/>
        <v>17061202.149999999</v>
      </c>
    </row>
    <row r="36" spans="1:14" x14ac:dyDescent="0.25">
      <c r="A36" vm="195">
        <f ca="1"/>
        <v>45712</v>
      </c>
      <c r="B36" vm="196">
        <f ca="1"/>
        <v>70.59</v>
      </c>
      <c r="C36" vm="197">
        <f ca="1"/>
        <v>70.84</v>
      </c>
      <c r="D36" vm="198">
        <f ca="1"/>
        <v>71.73</v>
      </c>
      <c r="E36" vm="199">
        <f ca="1"/>
        <v>70.33</v>
      </c>
      <c r="F36" vm="200">
        <f ca="1"/>
        <v>21418442</v>
      </c>
      <c r="G36" s="2">
        <f ca="1">AVERAGE(B30:B36)</f>
        <v>69.924285714285716</v>
      </c>
      <c r="H36" s="2">
        <f t="shared" ca="1" si="0"/>
        <v>66.162999999999982</v>
      </c>
      <c r="J36">
        <f ca="1">D36-E36</f>
        <v>1.4000000000000057</v>
      </c>
      <c r="K36" s="2">
        <f t="shared" ca="1" si="1"/>
        <v>1.1142450000000004</v>
      </c>
      <c r="L36" s="3">
        <f ca="1">(B36/$B$2)-1</f>
        <v>0.14149417852522639</v>
      </c>
      <c r="M36">
        <f ca="1">_xlfn.STDEV.P(L23:L36)</f>
        <v>4.9035023286081177E-2</v>
      </c>
      <c r="N36">
        <f t="shared" ca="1" si="2"/>
        <v>17169894.050000001</v>
      </c>
    </row>
    <row r="37" spans="1:14" x14ac:dyDescent="0.25">
      <c r="A37" vm="201">
        <f ca="1"/>
        <v>45713</v>
      </c>
      <c r="B37" vm="202">
        <f ca="1"/>
        <v>71.489999999999995</v>
      </c>
      <c r="C37" vm="203">
        <f ca="1"/>
        <v>70.86</v>
      </c>
      <c r="D37" vm="204">
        <f ca="1"/>
        <v>71.769900000000007</v>
      </c>
      <c r="E37" vm="205">
        <f ca="1"/>
        <v>70.73</v>
      </c>
      <c r="F37" vm="206">
        <f ca="1"/>
        <v>21555588</v>
      </c>
      <c r="G37" s="2">
        <f ca="1">AVERAGE(B31:B37)</f>
        <v>70.208571428571432</v>
      </c>
      <c r="H37" s="2">
        <f t="shared" ca="1" si="0"/>
        <v>66.543999999999997</v>
      </c>
      <c r="J37">
        <f ca="1">D37-E37</f>
        <v>1.0399000000000029</v>
      </c>
      <c r="K37" s="2">
        <f t="shared" ca="1" si="1"/>
        <v>1.0808900000000001</v>
      </c>
      <c r="L37" s="3">
        <f ca="1">(B37/$B$2)-1</f>
        <v>0.15604786545924942</v>
      </c>
      <c r="M37">
        <f ca="1">_xlfn.STDEV.P(L24:L37)</f>
        <v>4.6923364437195032E-2</v>
      </c>
      <c r="N37">
        <f t="shared" ca="1" si="2"/>
        <v>17210527.699999999</v>
      </c>
    </row>
    <row r="38" spans="1:14" x14ac:dyDescent="0.25">
      <c r="A38" vm="207">
        <f ca="1"/>
        <v>45714</v>
      </c>
      <c r="B38" vm="208">
        <f ca="1"/>
        <v>70.8</v>
      </c>
      <c r="C38" vm="209">
        <f ca="1"/>
        <v>71.27</v>
      </c>
      <c r="D38" vm="210">
        <f ca="1"/>
        <v>71.275000000000006</v>
      </c>
      <c r="E38" vm="211">
        <f ca="1"/>
        <v>70.525000000000006</v>
      </c>
      <c r="F38" vm="212">
        <f ca="1"/>
        <v>14531175</v>
      </c>
      <c r="G38" s="2">
        <f ca="1">AVERAGE(B32:B38)</f>
        <v>70.484285714285718</v>
      </c>
      <c r="H38" s="2">
        <f t="shared" ca="1" si="0"/>
        <v>66.96599999999998</v>
      </c>
      <c r="J38">
        <f ca="1">D38-E38</f>
        <v>0.75</v>
      </c>
      <c r="K38" s="2">
        <f t="shared" ca="1" si="1"/>
        <v>1.0303899999999999</v>
      </c>
      <c r="L38" s="3">
        <f ca="1">(B38/$B$2)-1</f>
        <v>0.14489003880983176</v>
      </c>
      <c r="M38">
        <f ca="1">_xlfn.STDEV.P(L25:L38)</f>
        <v>4.2683370255970451E-2</v>
      </c>
      <c r="N38">
        <f t="shared" ca="1" si="2"/>
        <v>17189284.899999999</v>
      </c>
    </row>
    <row r="39" spans="1:14" x14ac:dyDescent="0.25">
      <c r="A39" vm="213">
        <f ca="1"/>
        <v>45715</v>
      </c>
      <c r="B39" vm="214">
        <f ca="1"/>
        <v>70.87</v>
      </c>
      <c r="C39" vm="215">
        <f ca="1"/>
        <v>70.72</v>
      </c>
      <c r="D39" vm="216">
        <f ca="1"/>
        <v>71.534999999999997</v>
      </c>
      <c r="E39" vm="217">
        <f ca="1"/>
        <v>70.42</v>
      </c>
      <c r="F39" vm="218">
        <f ca="1"/>
        <v>16789476</v>
      </c>
      <c r="G39" s="2">
        <f ca="1">AVERAGE(B33:B39)</f>
        <v>70.744285714285724</v>
      </c>
      <c r="H39" s="2">
        <f t="shared" ca="1" si="0"/>
        <v>67.367999999999981</v>
      </c>
      <c r="J39">
        <f ca="1">D39-E39</f>
        <v>1.1149999999999949</v>
      </c>
      <c r="K39" s="2">
        <f t="shared" ca="1" si="1"/>
        <v>1.0456399999999995</v>
      </c>
      <c r="L39" s="3">
        <f ca="1">(B39/$B$2)-1</f>
        <v>0.14602199223803369</v>
      </c>
      <c r="M39">
        <f ca="1">_xlfn.STDEV.P(L26:L39)</f>
        <v>3.6628359619162706E-2</v>
      </c>
      <c r="N39">
        <f t="shared" ca="1" si="2"/>
        <v>17462476.949999999</v>
      </c>
    </row>
    <row r="40" spans="1:14" x14ac:dyDescent="0.25">
      <c r="A40" vm="219">
        <f ca="1"/>
        <v>45716</v>
      </c>
      <c r="B40" vm="220">
        <f ca="1"/>
        <v>71.209999999999994</v>
      </c>
      <c r="C40" vm="221">
        <f ca="1"/>
        <v>71.45</v>
      </c>
      <c r="D40" vm="222">
        <f ca="1"/>
        <v>71.569999999999993</v>
      </c>
      <c r="E40" vm="223">
        <f ca="1"/>
        <v>70.56</v>
      </c>
      <c r="F40" vm="224">
        <f ca="1"/>
        <v>22167379</v>
      </c>
      <c r="G40" s="2">
        <f ca="1">AVERAGE(B34:B40)</f>
        <v>70.907142857142858</v>
      </c>
      <c r="H40" s="2">
        <f t="shared" ca="1" si="0"/>
        <v>67.725999999999999</v>
      </c>
      <c r="J40">
        <f ca="1">D40-E40</f>
        <v>1.0099999999999909</v>
      </c>
      <c r="K40" s="2">
        <f t="shared" ca="1" si="1"/>
        <v>1.0433899999999992</v>
      </c>
      <c r="L40" s="3">
        <f ca="1">(B40/$B$2)-1</f>
        <v>0.15152005174644234</v>
      </c>
      <c r="M40">
        <f ca="1">_xlfn.STDEV.P(L27:L40)</f>
        <v>2.8929649595875521E-2</v>
      </c>
      <c r="N40">
        <f t="shared" ca="1" si="2"/>
        <v>17910797.050000001</v>
      </c>
    </row>
    <row r="41" spans="1:14" x14ac:dyDescent="0.25">
      <c r="A41" vm="225">
        <f ca="1"/>
        <v>45719</v>
      </c>
      <c r="B41" vm="226">
        <f ca="1"/>
        <v>72.319999999999993</v>
      </c>
      <c r="C41" vm="227">
        <f ca="1"/>
        <v>70.239999999999995</v>
      </c>
      <c r="D41" vm="228">
        <f ca="1"/>
        <v>72.36</v>
      </c>
      <c r="E41" vm="229">
        <f ca="1"/>
        <v>69.73</v>
      </c>
      <c r="F41" vm="230">
        <f ca="1"/>
        <v>21717603</v>
      </c>
      <c r="G41" s="2">
        <f ca="1">AVERAGE(B35:B41)</f>
        <v>71.232857142857142</v>
      </c>
      <c r="H41" s="2">
        <f t="shared" ca="1" si="0"/>
        <v>68.167999999999992</v>
      </c>
      <c r="J41">
        <f ca="1">D41-E41</f>
        <v>2.6299999999999955</v>
      </c>
      <c r="K41" s="2">
        <f t="shared" ca="1" si="1"/>
        <v>1.147889999999999</v>
      </c>
      <c r="L41" s="3">
        <f ca="1">(B41/$B$2)-1</f>
        <v>0.16946959896507097</v>
      </c>
      <c r="M41">
        <f ca="1">_xlfn.STDEV.P(L28:L41)</f>
        <v>2.0297975860494151E-2</v>
      </c>
      <c r="N41">
        <f t="shared" ca="1" si="2"/>
        <v>18391574.199999999</v>
      </c>
    </row>
    <row r="42" spans="1:14" x14ac:dyDescent="0.25">
      <c r="A42" vm="231">
        <f ca="1"/>
        <v>45720</v>
      </c>
      <c r="B42" vm="232">
        <f ca="1"/>
        <v>70.19</v>
      </c>
      <c r="C42" vm="233">
        <f ca="1"/>
        <v>72.069999999999993</v>
      </c>
      <c r="D42" vm="234">
        <f ca="1"/>
        <v>72.650000000000006</v>
      </c>
      <c r="E42" vm="235">
        <f ca="1"/>
        <v>69.88</v>
      </c>
      <c r="F42" vm="236">
        <f ca="1"/>
        <v>25411858</v>
      </c>
      <c r="G42" s="2">
        <f ca="1">AVERAGE(B36:B42)</f>
        <v>71.067142857142855</v>
      </c>
      <c r="H42" s="2">
        <f t="shared" ca="1" si="0"/>
        <v>68.510000000000005</v>
      </c>
      <c r="J42">
        <f ca="1">D42-E42</f>
        <v>2.7700000000000102</v>
      </c>
      <c r="K42" s="2">
        <f t="shared" ca="1" si="1"/>
        <v>1.2263949999999995</v>
      </c>
      <c r="L42" s="3">
        <f ca="1">(B42/$B$2)-1</f>
        <v>0.13502587322121595</v>
      </c>
      <c r="M42">
        <f ca="1">_xlfn.STDEV.P(L29:L42)</f>
        <v>1.6705586685052468E-2</v>
      </c>
      <c r="N42">
        <f t="shared" ca="1" si="2"/>
        <v>19058772.949999999</v>
      </c>
    </row>
    <row r="43" spans="1:14" x14ac:dyDescent="0.25">
      <c r="A43" vm="237">
        <f ca="1"/>
        <v>45721</v>
      </c>
      <c r="B43" vm="238">
        <f ca="1"/>
        <v>70.08</v>
      </c>
      <c r="C43" vm="239">
        <f ca="1"/>
        <v>69.900000000000006</v>
      </c>
      <c r="D43" vm="240">
        <f ca="1"/>
        <v>70.739999999999995</v>
      </c>
      <c r="E43" vm="241">
        <f ca="1"/>
        <v>69.84</v>
      </c>
      <c r="F43" vm="242">
        <f ca="1"/>
        <v>23933629</v>
      </c>
      <c r="G43" s="2">
        <f ca="1">AVERAGE(B37:B43)</f>
        <v>70.994285714285709</v>
      </c>
      <c r="H43" s="2">
        <f t="shared" ca="1" si="0"/>
        <v>68.880499999999998</v>
      </c>
      <c r="J43">
        <f ca="1">D43-E43</f>
        <v>0.89999999999999147</v>
      </c>
      <c r="K43" s="2">
        <f t="shared" ca="1" si="1"/>
        <v>1.2073949999999989</v>
      </c>
      <c r="L43" s="3">
        <f ca="1">(B43/$B$2)-1</f>
        <v>0.13324708926261319</v>
      </c>
      <c r="M43">
        <f ca="1">_xlfn.STDEV.P(L30:L43)</f>
        <v>1.5070257067499053E-2</v>
      </c>
      <c r="N43">
        <f t="shared" ca="1" si="2"/>
        <v>19471554.5</v>
      </c>
    </row>
    <row r="44" spans="1:14" x14ac:dyDescent="0.25">
      <c r="A44" vm="243">
        <f ca="1"/>
        <v>45722</v>
      </c>
      <c r="B44" vm="244">
        <f ca="1"/>
        <v>70.459999999999994</v>
      </c>
      <c r="C44" vm="245">
        <f ca="1"/>
        <v>70.41</v>
      </c>
      <c r="D44" vm="246">
        <f ca="1"/>
        <v>70.528999999999996</v>
      </c>
      <c r="E44" vm="247">
        <f ca="1"/>
        <v>69.45</v>
      </c>
      <c r="F44" vm="248">
        <f ca="1"/>
        <v>21694031</v>
      </c>
      <c r="G44" s="2">
        <f ca="1">AVERAGE(B38:B44)</f>
        <v>70.847142857142856</v>
      </c>
      <c r="H44" s="2">
        <f t="shared" ca="1" si="0"/>
        <v>69.247500000000002</v>
      </c>
      <c r="J44">
        <f ca="1">D44-E44</f>
        <v>1.0789999999999935</v>
      </c>
      <c r="K44" s="2">
        <f t="shared" ca="1" si="1"/>
        <v>1.2260949999999986</v>
      </c>
      <c r="L44" s="3">
        <f ca="1">(B44/$B$2)-1</f>
        <v>0.13939197930142289</v>
      </c>
      <c r="M44">
        <f ca="1">_xlfn.STDEV.P(L31:L44)</f>
        <v>1.4446278454048125E-2</v>
      </c>
      <c r="N44">
        <f t="shared" ca="1" si="2"/>
        <v>20021918.350000001</v>
      </c>
    </row>
    <row r="45" spans="1:14" x14ac:dyDescent="0.25">
      <c r="A45" vm="249">
        <f ca="1"/>
        <v>45723</v>
      </c>
      <c r="B45" vm="250">
        <f ca="1"/>
        <v>71.430000000000007</v>
      </c>
      <c r="C45" vm="251">
        <f ca="1"/>
        <v>69.650000000000006</v>
      </c>
      <c r="D45" vm="252">
        <f ca="1"/>
        <v>71.819999999999993</v>
      </c>
      <c r="E45" vm="251">
        <f ca="1"/>
        <v>69.650000000000006</v>
      </c>
      <c r="F45" vm="253">
        <f ca="1"/>
        <v>28393261</v>
      </c>
      <c r="G45" s="2">
        <f ca="1">AVERAGE(B39:B45)</f>
        <v>70.937142857142845</v>
      </c>
      <c r="H45" s="2">
        <f t="shared" ca="1" si="0"/>
        <v>69.650999999999996</v>
      </c>
      <c r="J45">
        <f ca="1">D45-E45</f>
        <v>2.1699999999999875</v>
      </c>
      <c r="K45" s="2">
        <f t="shared" ca="1" si="1"/>
        <v>1.2930949999999979</v>
      </c>
      <c r="L45" s="3">
        <f ca="1">(B45/$B$2)-1</f>
        <v>0.15507761966364808</v>
      </c>
      <c r="M45">
        <f ca="1">_xlfn.STDEV.P(L32:L45)</f>
        <v>1.2799072550865299E-2</v>
      </c>
      <c r="N45">
        <f t="shared" ca="1" si="2"/>
        <v>20770411</v>
      </c>
    </row>
    <row r="46" spans="1:14" x14ac:dyDescent="0.25">
      <c r="A46" vm="254">
        <f ca="1"/>
        <v>45726</v>
      </c>
      <c r="B46" vm="221">
        <f ca="1"/>
        <v>71.45</v>
      </c>
      <c r="C46" vm="255">
        <f ca="1"/>
        <v>71.959999999999994</v>
      </c>
      <c r="D46" vm="256">
        <f ca="1"/>
        <v>73.22</v>
      </c>
      <c r="E46" vm="257">
        <f ca="1"/>
        <v>71.314999999999998</v>
      </c>
      <c r="F46" vm="258">
        <f ca="1"/>
        <v>25251189</v>
      </c>
      <c r="G46" s="2">
        <f ca="1">AVERAGE(B40:B46)</f>
        <v>71.02</v>
      </c>
      <c r="H46" s="2">
        <f t="shared" ca="1" si="0"/>
        <v>70.031500000000008</v>
      </c>
      <c r="J46">
        <f ca="1">D46-E46</f>
        <v>1.9050000000000011</v>
      </c>
      <c r="K46" s="2">
        <f t="shared" ca="1" si="1"/>
        <v>1.355844999999998</v>
      </c>
      <c r="L46" s="3">
        <f ca="1">(B46/$B$2)-1</f>
        <v>0.1554010349288486</v>
      </c>
      <c r="M46">
        <f ca="1">_xlfn.STDEV.P(L33:L46)</f>
        <v>1.0715700425699047E-2</v>
      </c>
      <c r="N46">
        <f t="shared" ca="1" si="2"/>
        <v>21373736.75</v>
      </c>
    </row>
    <row r="47" spans="1:14" x14ac:dyDescent="0.25">
      <c r="A47" vm="259">
        <f ca="1"/>
        <v>45727</v>
      </c>
      <c r="B47" vm="260">
        <f ca="1"/>
        <v>71.040000000000006</v>
      </c>
      <c r="C47" vm="261">
        <f ca="1"/>
        <v>71.875</v>
      </c>
      <c r="D47" vm="262">
        <f ca="1"/>
        <v>72.040000000000006</v>
      </c>
      <c r="E47" vm="263">
        <f ca="1"/>
        <v>70.61</v>
      </c>
      <c r="F47" vm="264">
        <f ca="1"/>
        <v>28076440</v>
      </c>
      <c r="G47" s="2">
        <f ca="1">AVERAGE(B41:B47)</f>
        <v>70.995714285714286</v>
      </c>
      <c r="H47" s="2">
        <f t="shared" ca="1" si="0"/>
        <v>70.356000000000009</v>
      </c>
      <c r="J47">
        <f ca="1">D47-E47</f>
        <v>1.4300000000000068</v>
      </c>
      <c r="K47" s="2">
        <f t="shared" ca="1" si="1"/>
        <v>1.3778449999999978</v>
      </c>
      <c r="L47" s="3">
        <f ca="1">(B47/$B$2)-1</f>
        <v>0.14877102199223802</v>
      </c>
      <c r="M47">
        <f ca="1">_xlfn.STDEV.P(L34:L47)</f>
        <v>1.0085471483930717E-2</v>
      </c>
      <c r="N47">
        <f t="shared" ca="1" si="2"/>
        <v>21969843.75</v>
      </c>
    </row>
    <row r="48" spans="1:14" x14ac:dyDescent="0.25">
      <c r="A48" vm="265">
        <f ca="1"/>
        <v>45728</v>
      </c>
      <c r="B48" vm="266">
        <f ca="1"/>
        <v>69.94</v>
      </c>
      <c r="C48" vm="267">
        <f ca="1"/>
        <v>70.37</v>
      </c>
      <c r="D48" vm="205">
        <f ca="1"/>
        <v>70.73</v>
      </c>
      <c r="E48" vm="268">
        <f ca="1"/>
        <v>69.739999999999995</v>
      </c>
      <c r="F48" vm="269">
        <f ca="1"/>
        <v>18923301</v>
      </c>
      <c r="G48" s="2">
        <f ca="1">AVERAGE(B42:B48)</f>
        <v>70.655714285714282</v>
      </c>
      <c r="H48" s="2">
        <f t="shared" ca="1" si="0"/>
        <v>70.473000000000013</v>
      </c>
      <c r="J48">
        <f ca="1">D48-E48</f>
        <v>0.99000000000000909</v>
      </c>
      <c r="K48" s="2">
        <f t="shared" ca="1" si="1"/>
        <v>1.3643449999999979</v>
      </c>
      <c r="L48" s="3">
        <f ca="1">(B48/$B$2)-1</f>
        <v>0.13098318240620954</v>
      </c>
      <c r="M48">
        <f ca="1">_xlfn.STDEV.P(L35:L48)</f>
        <v>1.0261331681444207E-2</v>
      </c>
      <c r="N48">
        <f t="shared" ca="1" si="2"/>
        <v>21386551.399999999</v>
      </c>
    </row>
    <row r="49" spans="1:14" x14ac:dyDescent="0.25">
      <c r="A49" vm="270">
        <f ca="1"/>
        <v>45729</v>
      </c>
      <c r="B49" vm="271">
        <f ca="1"/>
        <v>69.62</v>
      </c>
      <c r="C49" vm="272">
        <f ca="1"/>
        <v>70.25</v>
      </c>
      <c r="D49" vm="272">
        <f ca="1"/>
        <v>70.25</v>
      </c>
      <c r="E49" vm="273">
        <f ca="1"/>
        <v>69.281000000000006</v>
      </c>
      <c r="F49" vm="274">
        <f ca="1"/>
        <v>15746568</v>
      </c>
      <c r="G49" s="2">
        <f ca="1">AVERAGE(B43:B49)</f>
        <v>70.574285714285722</v>
      </c>
      <c r="H49" s="2">
        <f t="shared" ca="1" si="0"/>
        <v>70.518500000000017</v>
      </c>
      <c r="J49">
        <f ca="1">D49-E49</f>
        <v>0.96899999999999409</v>
      </c>
      <c r="K49" s="2">
        <f t="shared" ca="1" si="1"/>
        <v>1.3152949999999983</v>
      </c>
      <c r="L49" s="3">
        <f ca="1">(B49/$B$2)-1</f>
        <v>0.12580853816300142</v>
      </c>
      <c r="M49">
        <f ca="1">_xlfn.STDEV.P(L36:L49)</f>
        <v>1.1444818514423626E-2</v>
      </c>
      <c r="N49">
        <f t="shared" ca="1" si="2"/>
        <v>20872191.600000001</v>
      </c>
    </row>
    <row r="50" spans="1:14" x14ac:dyDescent="0.25">
      <c r="A50" vm="275">
        <f ca="1"/>
        <v>45730</v>
      </c>
      <c r="B50" vm="276">
        <f ca="1"/>
        <v>69.16</v>
      </c>
      <c r="C50" vm="277">
        <f ca="1"/>
        <v>68.510000000000005</v>
      </c>
      <c r="D50" vm="278">
        <f ca="1"/>
        <v>69.260000000000005</v>
      </c>
      <c r="E50" vm="279">
        <f ca="1"/>
        <v>68.380300000000005</v>
      </c>
      <c r="F50" vm="280">
        <f ca="1"/>
        <v>14205091</v>
      </c>
      <c r="G50" s="2">
        <f ca="1">AVERAGE(B44:B50)</f>
        <v>70.44285714285715</v>
      </c>
      <c r="H50" s="2">
        <f t="shared" ca="1" si="0"/>
        <v>70.501500000000021</v>
      </c>
      <c r="J50">
        <f ca="1">D50-E50</f>
        <v>0.8796999999999997</v>
      </c>
      <c r="K50" s="2">
        <f t="shared" ca="1" si="1"/>
        <v>1.3168799999999983</v>
      </c>
      <c r="L50" s="3">
        <f ca="1">(B50/$B$2)-1</f>
        <v>0.11836998706338919</v>
      </c>
      <c r="M50">
        <f ca="1">_xlfn.STDEV.P(L37:L50)</f>
        <v>1.3370682808170399E-2</v>
      </c>
      <c r="N50">
        <f t="shared" ca="1" si="2"/>
        <v>20362788.75</v>
      </c>
    </row>
    <row r="51" spans="1:14" x14ac:dyDescent="0.25">
      <c r="A51" vm="281">
        <f ca="1"/>
        <v>45733</v>
      </c>
      <c r="B51" vm="282">
        <f ca="1"/>
        <v>70.12</v>
      </c>
      <c r="C51" vm="283">
        <f ca="1"/>
        <v>69.239999999999995</v>
      </c>
      <c r="D51" vm="284">
        <f ca="1"/>
        <v>70.17</v>
      </c>
      <c r="E51" vm="285">
        <f ca="1"/>
        <v>69.08</v>
      </c>
      <c r="F51" vm="286">
        <f ca="1"/>
        <v>15634808</v>
      </c>
      <c r="G51" s="2">
        <f ca="1">AVERAGE(B45:B51)</f>
        <v>70.394285714285715</v>
      </c>
      <c r="H51" s="2">
        <f t="shared" ca="1" si="0"/>
        <v>70.564000000000007</v>
      </c>
      <c r="I51" s="2">
        <f t="shared" ref="I51:I82" ca="1" si="3">AVERAGE(B2:B51)</f>
        <v>66.190599999999975</v>
      </c>
      <c r="J51">
        <f ca="1">D51-E51</f>
        <v>1.0900000000000034</v>
      </c>
      <c r="K51" s="2">
        <f t="shared" ca="1" si="1"/>
        <v>1.3078799999999986</v>
      </c>
      <c r="L51" s="3">
        <f ca="1">(B51/$B$2)-1</f>
        <v>0.13389391979301424</v>
      </c>
      <c r="M51">
        <f ca="1">_xlfn.STDEV.P(L38:L51)</f>
        <v>1.3109074979814192E-2</v>
      </c>
      <c r="N51">
        <f t="shared" ca="1" si="2"/>
        <v>20105574.649999999</v>
      </c>
    </row>
    <row r="52" spans="1:14" x14ac:dyDescent="0.25">
      <c r="A52" vm="287">
        <f ca="1"/>
        <v>45734</v>
      </c>
      <c r="B52" vm="288">
        <f ca="1"/>
        <v>69.38</v>
      </c>
      <c r="C52" vm="289">
        <f ca="1"/>
        <v>70.11</v>
      </c>
      <c r="D52" vm="232">
        <f ca="1"/>
        <v>70.19</v>
      </c>
      <c r="E52" vm="290">
        <f ca="1"/>
        <v>69.3</v>
      </c>
      <c r="F52" vm="291">
        <f ca="1"/>
        <v>12657615</v>
      </c>
      <c r="G52" s="2">
        <f ca="1">AVERAGE(B46:B52)</f>
        <v>70.101428571428571</v>
      </c>
      <c r="H52" s="2">
        <f t="shared" ca="1" si="0"/>
        <v>70.580500000000029</v>
      </c>
      <c r="I52" s="2">
        <f t="shared" ca="1" si="3"/>
        <v>66.341399999999979</v>
      </c>
      <c r="J52">
        <f ca="1">D52-E52</f>
        <v>0.89000000000000057</v>
      </c>
      <c r="K52" s="2">
        <f t="shared" ca="1" si="1"/>
        <v>1.3048799999999985</v>
      </c>
      <c r="L52" s="3">
        <f ca="1">(B52/$B$2)-1</f>
        <v>0.12192755498059493</v>
      </c>
      <c r="M52">
        <f ca="1">_xlfn.STDEV.P(L39:L52)</f>
        <v>1.4046702485025851E-2</v>
      </c>
      <c r="N52">
        <f t="shared" ca="1" si="2"/>
        <v>19959999.300000001</v>
      </c>
    </row>
    <row r="53" spans="1:14" x14ac:dyDescent="0.25">
      <c r="A53" vm="292">
        <f ca="1"/>
        <v>45735</v>
      </c>
      <c r="B53" vm="293">
        <f ca="1"/>
        <v>69.28</v>
      </c>
      <c r="C53" vm="175">
        <f ca="1"/>
        <v>68.55</v>
      </c>
      <c r="D53" vm="288">
        <f ca="1"/>
        <v>69.38</v>
      </c>
      <c r="E53" vm="294">
        <f ca="1"/>
        <v>68.540000000000006</v>
      </c>
      <c r="F53" vm="295">
        <f ca="1"/>
        <v>14780007</v>
      </c>
      <c r="G53" s="2">
        <f ca="1">AVERAGE(B47:B53)</f>
        <v>69.791428571428568</v>
      </c>
      <c r="H53" s="2">
        <f t="shared" ref="H53:H84" ca="1" si="4">AVERAGE(B34:B53)</f>
        <v>70.541000000000025</v>
      </c>
      <c r="I53" s="2">
        <f t="shared" ca="1" si="3"/>
        <v>66.491999999999976</v>
      </c>
      <c r="J53">
        <f ca="1">D53-E53</f>
        <v>0.8399999999999892</v>
      </c>
      <c r="K53" s="2">
        <f t="shared" ca="1" si="1"/>
        <v>1.2988799999999983</v>
      </c>
      <c r="L53" s="3">
        <f ca="1">(B53/$B$2)-1</f>
        <v>0.12031047865459255</v>
      </c>
      <c r="M53">
        <f ca="1">_xlfn.STDEV.P(L40:L53)</f>
        <v>1.4843380870251964E-2</v>
      </c>
      <c r="N53">
        <f t="shared" ca="1" si="2"/>
        <v>19897386.149999999</v>
      </c>
    </row>
    <row r="54" spans="1:14" x14ac:dyDescent="0.25">
      <c r="A54" vm="296">
        <f ca="1"/>
        <v>45736</v>
      </c>
      <c r="B54" vm="187">
        <f ca="1"/>
        <v>69.709999999999994</v>
      </c>
      <c r="C54" vm="297">
        <f ca="1"/>
        <v>69.305000000000007</v>
      </c>
      <c r="D54" vm="298">
        <f ca="1"/>
        <v>69.81</v>
      </c>
      <c r="E54" vm="299">
        <f ca="1"/>
        <v>69.09</v>
      </c>
      <c r="F54" vm="300">
        <f ca="1"/>
        <v>16295263</v>
      </c>
      <c r="G54" s="2">
        <f ca="1">AVERAGE(B48:B54)</f>
        <v>69.601428571428571</v>
      </c>
      <c r="H54" s="2">
        <f t="shared" ca="1" si="4"/>
        <v>70.524500000000018</v>
      </c>
      <c r="I54" s="2">
        <f t="shared" ca="1" si="3"/>
        <v>66.669999999999987</v>
      </c>
      <c r="J54">
        <f ca="1">D54-E54</f>
        <v>0.71999999999999886</v>
      </c>
      <c r="K54" s="2">
        <f t="shared" ca="1" si="1"/>
        <v>1.3023799999999988</v>
      </c>
      <c r="L54" s="3">
        <f ca="1">(B54/$B$2)-1</f>
        <v>0.12726390685640343</v>
      </c>
      <c r="M54">
        <f ca="1">_xlfn.STDEV.P(L41:L54)</f>
        <v>1.4638382830667885E-2</v>
      </c>
      <c r="N54">
        <f t="shared" ca="1" si="2"/>
        <v>20042248.800000001</v>
      </c>
    </row>
    <row r="55" spans="1:14" x14ac:dyDescent="0.25">
      <c r="A55" vm="301">
        <f ca="1"/>
        <v>45737</v>
      </c>
      <c r="B55" vm="302">
        <f ca="1"/>
        <v>68.67</v>
      </c>
      <c r="C55" vm="187">
        <f ca="1"/>
        <v>69.709999999999994</v>
      </c>
      <c r="D55" vm="303">
        <f ca="1"/>
        <v>69.97</v>
      </c>
      <c r="E55" vm="304">
        <f ca="1"/>
        <v>68.180000000000007</v>
      </c>
      <c r="F55" vm="305">
        <f ca="1"/>
        <v>47479473</v>
      </c>
      <c r="G55" s="2">
        <f ca="1">AVERAGE(B49:B55)</f>
        <v>69.419999999999987</v>
      </c>
      <c r="H55" s="2">
        <f t="shared" ca="1" si="4"/>
        <v>70.390500000000003</v>
      </c>
      <c r="I55" s="2">
        <f t="shared" ca="1" si="3"/>
        <v>66.826599999999985</v>
      </c>
      <c r="J55">
        <f ca="1">D55-E55</f>
        <v>1.789999999999992</v>
      </c>
      <c r="K55" s="2">
        <f t="shared" ca="1" si="1"/>
        <v>1.3183799999999983</v>
      </c>
      <c r="L55" s="3">
        <f ca="1">(B55/$B$2)-1</f>
        <v>0.11044631306597674</v>
      </c>
      <c r="M55">
        <f ca="1">_xlfn.STDEV.P(L42:L55)</f>
        <v>1.30278526952552E-2</v>
      </c>
      <c r="N55">
        <f t="shared" ca="1" si="2"/>
        <v>21333109.850000001</v>
      </c>
    </row>
    <row r="56" spans="1:14" x14ac:dyDescent="0.25">
      <c r="A56" vm="306">
        <f ca="1"/>
        <v>45740</v>
      </c>
      <c r="B56" vm="307">
        <f ca="1"/>
        <v>68.95</v>
      </c>
      <c r="C56" vm="308">
        <f ca="1"/>
        <v>68.8</v>
      </c>
      <c r="D56" vm="285">
        <f ca="1"/>
        <v>69.08</v>
      </c>
      <c r="E56" vm="309">
        <f ca="1"/>
        <v>68.33</v>
      </c>
      <c r="F56" vm="310">
        <f ca="1"/>
        <v>12575412</v>
      </c>
      <c r="G56" s="2">
        <f ca="1">AVERAGE(B50:B56)</f>
        <v>69.324285714285708</v>
      </c>
      <c r="H56" s="2">
        <f t="shared" ca="1" si="4"/>
        <v>70.308500000000009</v>
      </c>
      <c r="I56" s="2">
        <f t="shared" ca="1" si="3"/>
        <v>66.971399999999988</v>
      </c>
      <c r="J56">
        <f ca="1">D56-E56</f>
        <v>0.75</v>
      </c>
      <c r="K56" s="2">
        <f t="shared" ca="1" si="1"/>
        <v>1.2858799999999981</v>
      </c>
      <c r="L56" s="3">
        <f ca="1">(B56/$B$2)-1</f>
        <v>0.11497412677878405</v>
      </c>
      <c r="M56">
        <f ca="1">_xlfn.STDEV.P(L43:L56)</f>
        <v>1.3760287178913656E-2</v>
      </c>
      <c r="N56">
        <f t="shared" ca="1" si="2"/>
        <v>20890958.350000001</v>
      </c>
    </row>
    <row r="57" spans="1:14" x14ac:dyDescent="0.25">
      <c r="A57" vm="311">
        <f ca="1"/>
        <v>45741</v>
      </c>
      <c r="B57" vm="312">
        <f ca="1"/>
        <v>68.81</v>
      </c>
      <c r="C57" vm="307">
        <f ca="1"/>
        <v>68.95</v>
      </c>
      <c r="D57" vm="285">
        <f ca="1"/>
        <v>69.08</v>
      </c>
      <c r="E57" vm="313">
        <f ca="1"/>
        <v>68.599999999999994</v>
      </c>
      <c r="F57" vm="314">
        <f ca="1"/>
        <v>12513897</v>
      </c>
      <c r="G57" s="2">
        <f ca="1">AVERAGE(B51:B57)</f>
        <v>69.27428571428571</v>
      </c>
      <c r="H57" s="2">
        <f t="shared" ca="1" si="4"/>
        <v>70.174499999999995</v>
      </c>
      <c r="I57" s="2">
        <f t="shared" ca="1" si="3"/>
        <v>67.126199999999983</v>
      </c>
      <c r="J57">
        <f ca="1">D57-E57</f>
        <v>0.48000000000000398</v>
      </c>
      <c r="K57" s="2">
        <f t="shared" ca="1" si="1"/>
        <v>1.2578849999999981</v>
      </c>
      <c r="L57" s="3">
        <f ca="1">(B57/$B$2)-1</f>
        <v>0.11271021992238039</v>
      </c>
      <c r="M57">
        <f ca="1">_xlfn.STDEV.P(L44:L57)</f>
        <v>1.452990638393151E-2</v>
      </c>
      <c r="N57">
        <f t="shared" ca="1" si="2"/>
        <v>20438873.800000001</v>
      </c>
    </row>
    <row r="58" spans="1:14" x14ac:dyDescent="0.25">
      <c r="A58" vm="315">
        <f ca="1"/>
        <v>45742</v>
      </c>
      <c r="B58" vm="316">
        <f ca="1"/>
        <v>70.02</v>
      </c>
      <c r="C58" vm="317">
        <f ca="1"/>
        <v>68.92</v>
      </c>
      <c r="D58" vm="318">
        <f ca="1"/>
        <v>70.349999999999994</v>
      </c>
      <c r="E58" vm="319">
        <f ca="1"/>
        <v>68.900000000000006</v>
      </c>
      <c r="F58" vm="320">
        <f ca="1"/>
        <v>14482764</v>
      </c>
      <c r="G58" s="2">
        <f ca="1">AVERAGE(B52:B58)</f>
        <v>69.260000000000005</v>
      </c>
      <c r="H58" s="2">
        <f t="shared" ca="1" si="4"/>
        <v>70.135500000000008</v>
      </c>
      <c r="I58" s="2">
        <f t="shared" ca="1" si="3"/>
        <v>67.293599999999984</v>
      </c>
      <c r="J58">
        <f ca="1">D58-E58</f>
        <v>1.4499999999999886</v>
      </c>
      <c r="K58" s="2">
        <f t="shared" ca="1" si="1"/>
        <v>1.2928849999999976</v>
      </c>
      <c r="L58" s="3">
        <f ca="1">(B58/$B$2)-1</f>
        <v>0.13227684346701141</v>
      </c>
      <c r="M58">
        <f ca="1">_xlfn.STDEV.P(L45:L58)</f>
        <v>1.4303511659808995E-2</v>
      </c>
      <c r="N58">
        <f t="shared" ca="1" si="2"/>
        <v>20436453.25</v>
      </c>
    </row>
    <row r="59" spans="1:14" x14ac:dyDescent="0.25">
      <c r="A59" vm="321">
        <f ca="1"/>
        <v>45743</v>
      </c>
      <c r="B59" vm="240">
        <f ca="1"/>
        <v>70.739999999999995</v>
      </c>
      <c r="C59" vm="322">
        <f ca="1"/>
        <v>70.180000000000007</v>
      </c>
      <c r="D59" vm="323">
        <f ca="1"/>
        <v>70.984999999999999</v>
      </c>
      <c r="E59" vm="180">
        <f ca="1"/>
        <v>70.069999999999993</v>
      </c>
      <c r="F59" vm="324">
        <f ca="1"/>
        <v>11663365</v>
      </c>
      <c r="G59" s="2">
        <f ca="1">AVERAGE(B53:B59)</f>
        <v>69.454285714285717</v>
      </c>
      <c r="H59" s="2">
        <f t="shared" ca="1" si="4"/>
        <v>70.128999999999991</v>
      </c>
      <c r="I59" s="2">
        <f t="shared" ca="1" si="3"/>
        <v>67.46759999999999</v>
      </c>
      <c r="J59">
        <f ca="1">D59-E59</f>
        <v>0.91500000000000625</v>
      </c>
      <c r="K59" s="2">
        <f t="shared" ca="1" si="1"/>
        <v>1.2828849999999981</v>
      </c>
      <c r="L59" s="3">
        <f ca="1">(B59/$B$2)-1</f>
        <v>0.14391979301423019</v>
      </c>
      <c r="M59">
        <f ca="1">_xlfn.STDEV.P(L46:L59)</f>
        <v>1.3097060250466312E-2</v>
      </c>
      <c r="N59">
        <f t="shared" ca="1" si="2"/>
        <v>20180147.699999999</v>
      </c>
    </row>
    <row r="60" spans="1:14" x14ac:dyDescent="0.25">
      <c r="A60" vm="325">
        <f ca="1"/>
        <v>45744</v>
      </c>
      <c r="B60" vm="267">
        <f ca="1"/>
        <v>70.37</v>
      </c>
      <c r="C60" vm="326">
        <f ca="1"/>
        <v>70.81</v>
      </c>
      <c r="D60" vm="257">
        <f ca="1"/>
        <v>71.314999999999998</v>
      </c>
      <c r="E60" vm="327">
        <f ca="1"/>
        <v>69.53</v>
      </c>
      <c r="F60" vm="328">
        <f ca="1"/>
        <v>17412915</v>
      </c>
      <c r="G60" s="2">
        <f ca="1">AVERAGE(B54:B60)</f>
        <v>69.61</v>
      </c>
      <c r="H60" s="2">
        <f t="shared" ca="1" si="4"/>
        <v>70.086999999999989</v>
      </c>
      <c r="I60" s="2">
        <f t="shared" ca="1" si="3"/>
        <v>67.639599999999987</v>
      </c>
      <c r="J60">
        <f ca="1">D60-E60</f>
        <v>1.7849999999999966</v>
      </c>
      <c r="K60" s="2">
        <f t="shared" ca="1" si="1"/>
        <v>1.3216349999999983</v>
      </c>
      <c r="L60" s="3">
        <f ca="1">(B60/$B$2)-1</f>
        <v>0.13793661060802065</v>
      </c>
      <c r="M60">
        <f ca="1">_xlfn.STDEV.P(L47:L60)</f>
        <v>1.1149028744023209E-2</v>
      </c>
      <c r="N60">
        <f t="shared" ca="1" si="2"/>
        <v>19942424.5</v>
      </c>
    </row>
    <row r="61" spans="1:14" x14ac:dyDescent="0.25">
      <c r="A61" vm="329">
        <f ca="1"/>
        <v>45747</v>
      </c>
      <c r="B61" vm="330">
        <f ca="1"/>
        <v>71.62</v>
      </c>
      <c r="C61" vm="205">
        <f ca="1"/>
        <v>70.73</v>
      </c>
      <c r="D61" vm="331">
        <f ca="1"/>
        <v>71.9375</v>
      </c>
      <c r="E61" vm="332">
        <f ca="1"/>
        <v>70.489999999999995</v>
      </c>
      <c r="F61" vm="333">
        <f ca="1"/>
        <v>24016866</v>
      </c>
      <c r="G61" s="2">
        <f ca="1">AVERAGE(B55:B61)</f>
        <v>69.882857142857148</v>
      </c>
      <c r="H61" s="2">
        <f t="shared" ca="1" si="4"/>
        <v>70.051999999999992</v>
      </c>
      <c r="I61" s="2">
        <f t="shared" ca="1" si="3"/>
        <v>67.82699999999997</v>
      </c>
      <c r="J61">
        <f ca="1">D61-E61</f>
        <v>1.4475000000000051</v>
      </c>
      <c r="K61" s="2">
        <f t="shared" ca="1" si="1"/>
        <v>1.2625099999999989</v>
      </c>
      <c r="L61" s="3">
        <f ca="1">(B61/$B$2)-1</f>
        <v>0.15815006468305315</v>
      </c>
      <c r="M61">
        <f ca="1">_xlfn.STDEV.P(L48:L61)</f>
        <v>1.2615590901490205E-2</v>
      </c>
      <c r="N61">
        <f t="shared" ca="1" si="2"/>
        <v>20057387.649999999</v>
      </c>
    </row>
    <row r="62" spans="1:14" x14ac:dyDescent="0.25">
      <c r="A62" vm="334">
        <f ca="1"/>
        <v>45748</v>
      </c>
      <c r="B62" vm="335">
        <f ca="1"/>
        <v>71.87</v>
      </c>
      <c r="C62" vm="336">
        <f ca="1"/>
        <v>71.680000000000007</v>
      </c>
      <c r="D62" vm="337">
        <f ca="1"/>
        <v>71.91</v>
      </c>
      <c r="E62" vm="338">
        <f ca="1"/>
        <v>71.185000000000002</v>
      </c>
      <c r="F62" vm="339">
        <f ca="1"/>
        <v>15309146</v>
      </c>
      <c r="G62" s="2">
        <f ca="1">AVERAGE(B56:B62)</f>
        <v>70.34</v>
      </c>
      <c r="H62" s="2">
        <f t="shared" ca="1" si="4"/>
        <v>70.135999999999996</v>
      </c>
      <c r="I62" s="2">
        <f t="shared" ca="1" si="3"/>
        <v>68.010199999999983</v>
      </c>
      <c r="J62">
        <f ca="1">D62-E62</f>
        <v>0.72499999999999432</v>
      </c>
      <c r="K62" s="2">
        <f t="shared" ca="1" si="1"/>
        <v>1.1602599999999981</v>
      </c>
      <c r="L62" s="3">
        <f ca="1">(B62/$B$2)-1</f>
        <v>0.16219275549805956</v>
      </c>
      <c r="M62">
        <f ca="1">_xlfn.STDEV.P(L49:L62)</f>
        <v>1.5427983257688861E-2</v>
      </c>
      <c r="N62">
        <f t="shared" ca="1" si="2"/>
        <v>19552252.050000001</v>
      </c>
    </row>
    <row r="63" spans="1:14" x14ac:dyDescent="0.25">
      <c r="A63" vm="340">
        <f ca="1"/>
        <v>45749</v>
      </c>
      <c r="B63" vm="341">
        <f ca="1"/>
        <v>71.33</v>
      </c>
      <c r="C63" vm="255">
        <f ca="1"/>
        <v>71.959999999999994</v>
      </c>
      <c r="D63" vm="228">
        <f ca="1"/>
        <v>72.36</v>
      </c>
      <c r="E63" vm="342">
        <f ca="1"/>
        <v>71.05</v>
      </c>
      <c r="F63" vm="343">
        <f ca="1"/>
        <v>14606519</v>
      </c>
      <c r="G63" s="2">
        <f ca="1">AVERAGE(B57:B63)</f>
        <v>70.679999999999993</v>
      </c>
      <c r="H63" s="2">
        <f t="shared" ca="1" si="4"/>
        <v>70.198499999999996</v>
      </c>
      <c r="I63" s="2">
        <f t="shared" ca="1" si="3"/>
        <v>68.188399999999959</v>
      </c>
      <c r="J63">
        <f ca="1">D63-E63</f>
        <v>1.3100000000000023</v>
      </c>
      <c r="K63" s="2">
        <f t="shared" ca="1" si="1"/>
        <v>1.1807599999999987</v>
      </c>
      <c r="L63" s="3">
        <f ca="1">(B63/$B$2)-1</f>
        <v>0.15346054333764547</v>
      </c>
      <c r="M63">
        <f ca="1">_xlfn.STDEV.P(L50:L63)</f>
        <v>1.6496350175950067E-2</v>
      </c>
      <c r="N63">
        <f t="shared" ca="1" si="2"/>
        <v>19085896.550000001</v>
      </c>
    </row>
    <row r="64" spans="1:14" x14ac:dyDescent="0.25">
      <c r="A64" vm="344">
        <f ca="1"/>
        <v>45750</v>
      </c>
      <c r="B64" vm="345">
        <f ca="1"/>
        <v>73.180000000000007</v>
      </c>
      <c r="C64" vm="346">
        <f ca="1"/>
        <v>72.48</v>
      </c>
      <c r="D64" vm="347">
        <f ca="1"/>
        <v>73.95</v>
      </c>
      <c r="E64" vm="226">
        <f ca="1"/>
        <v>72.319999999999993</v>
      </c>
      <c r="F64" vm="348">
        <f ca="1"/>
        <v>24959593</v>
      </c>
      <c r="G64" s="2">
        <f ca="1">AVERAGE(B58:B64)</f>
        <v>71.304285714285712</v>
      </c>
      <c r="H64" s="2">
        <f t="shared" ca="1" si="4"/>
        <v>70.334499999999991</v>
      </c>
      <c r="I64" s="2">
        <f t="shared" ca="1" si="3"/>
        <v>68.416399999999982</v>
      </c>
      <c r="J64">
        <f ca="1">D64-E64</f>
        <v>1.6300000000000097</v>
      </c>
      <c r="K64" s="2">
        <f t="shared" ca="1" si="1"/>
        <v>1.2083099999999996</v>
      </c>
      <c r="L64" s="3">
        <f ca="1">(B64/$B$2)-1</f>
        <v>0.1833764553686934</v>
      </c>
      <c r="M64">
        <f ca="1">_xlfn.STDEV.P(L51:L64)</f>
        <v>2.0638523058702913E-2</v>
      </c>
      <c r="N64">
        <f t="shared" ca="1" si="2"/>
        <v>19249174.649999999</v>
      </c>
    </row>
    <row r="65" spans="1:14" x14ac:dyDescent="0.25">
      <c r="A65" vm="349">
        <f ca="1"/>
        <v>45751</v>
      </c>
      <c r="B65" vm="350">
        <f ca="1"/>
        <v>69.930000000000007</v>
      </c>
      <c r="C65" vm="351">
        <f ca="1"/>
        <v>72.42</v>
      </c>
      <c r="D65" vm="352">
        <f ca="1"/>
        <v>73.010000000000005</v>
      </c>
      <c r="E65" vm="353">
        <f ca="1"/>
        <v>69.790000000000006</v>
      </c>
      <c r="F65" vm="354">
        <f ca="1"/>
        <v>26517289</v>
      </c>
      <c r="G65" s="2">
        <f ca="1">AVERAGE(B59:B65)</f>
        <v>71.291428571428568</v>
      </c>
      <c r="H65" s="2">
        <f t="shared" ca="1" si="4"/>
        <v>70.259500000000003</v>
      </c>
      <c r="I65" s="2">
        <f t="shared" ca="1" si="3"/>
        <v>68.584399999999974</v>
      </c>
      <c r="J65">
        <f ca="1">D65-E65</f>
        <v>3.2199999999999989</v>
      </c>
      <c r="K65" s="2">
        <f t="shared" ca="1" si="1"/>
        <v>1.26081</v>
      </c>
      <c r="L65" s="3">
        <f ca="1">(B65/$B$2)-1</f>
        <v>0.13082147477360939</v>
      </c>
      <c r="M65">
        <f ca="1">_xlfn.STDEV.P(L52:L65)</f>
        <v>2.0682753380981883E-2</v>
      </c>
      <c r="N65">
        <f t="shared" ca="1" si="2"/>
        <v>19155376.050000001</v>
      </c>
    </row>
    <row r="66" spans="1:14" x14ac:dyDescent="0.25">
      <c r="A66" vm="355">
        <f ca="1"/>
        <v>45754</v>
      </c>
      <c r="B66" vm="356">
        <f ca="1"/>
        <v>68.37</v>
      </c>
      <c r="C66" vm="357">
        <f ca="1"/>
        <v>66.23</v>
      </c>
      <c r="D66" vm="288">
        <f ca="1"/>
        <v>69.38</v>
      </c>
      <c r="E66" vm="358">
        <f ca="1"/>
        <v>66.05</v>
      </c>
      <c r="F66" vm="359">
        <f ca="1"/>
        <v>34258363</v>
      </c>
      <c r="G66" s="2">
        <f ca="1">AVERAGE(B60:B66)</f>
        <v>70.952857142857141</v>
      </c>
      <c r="H66" s="2">
        <f t="shared" ca="1" si="4"/>
        <v>70.105500000000006</v>
      </c>
      <c r="I66" s="2">
        <f t="shared" ca="1" si="3"/>
        <v>68.713399999999979</v>
      </c>
      <c r="J66">
        <f ca="1">D66-E66</f>
        <v>3.3299999999999983</v>
      </c>
      <c r="K66" s="2">
        <f t="shared" ca="1" si="1"/>
        <v>1.3320599999999998</v>
      </c>
      <c r="L66" s="3">
        <f ca="1">(B66/$B$2)-1</f>
        <v>0.10559508408796892</v>
      </c>
      <c r="M66">
        <f ca="1">_xlfn.STDEV.P(L53:L66)</f>
        <v>2.1892098436283338E-2</v>
      </c>
      <c r="N66">
        <f t="shared" ca="1" si="2"/>
        <v>19605734.75</v>
      </c>
    </row>
    <row r="67" spans="1:14" x14ac:dyDescent="0.25">
      <c r="A67" vm="360">
        <f ca="1"/>
        <v>45755</v>
      </c>
      <c r="B67" vm="177">
        <f ca="1"/>
        <v>68.42</v>
      </c>
      <c r="C67" vm="361">
        <f ca="1"/>
        <v>68.959999999999994</v>
      </c>
      <c r="D67" vm="362">
        <f ca="1"/>
        <v>69.981499999999997</v>
      </c>
      <c r="E67" vm="363">
        <f ca="1"/>
        <v>67.760000000000005</v>
      </c>
      <c r="F67" vm="364">
        <f ca="1"/>
        <v>22774425</v>
      </c>
      <c r="G67" s="2">
        <f ca="1">AVERAGE(B61:B67)</f>
        <v>70.674285714285716</v>
      </c>
      <c r="H67" s="2">
        <f t="shared" ca="1" si="4"/>
        <v>69.974500000000006</v>
      </c>
      <c r="I67" s="2">
        <f t="shared" ca="1" si="3"/>
        <v>68.804399999999973</v>
      </c>
      <c r="J67">
        <f ca="1">D67-E67</f>
        <v>2.2214999999999918</v>
      </c>
      <c r="K67" s="2">
        <f t="shared" ca="1" si="1"/>
        <v>1.371634999999999</v>
      </c>
      <c r="L67" s="3">
        <f ca="1">(B67/$B$2)-1</f>
        <v>0.10640362225097011</v>
      </c>
      <c r="M67">
        <f ca="1">_xlfn.STDEV.P(L54:L67)</f>
        <v>2.2842122311093973E-2</v>
      </c>
      <c r="N67">
        <f t="shared" ca="1" si="2"/>
        <v>19340634</v>
      </c>
    </row>
    <row r="68" spans="1:14" x14ac:dyDescent="0.25">
      <c r="A68" vm="365">
        <f ca="1"/>
        <v>45756</v>
      </c>
      <c r="B68" vm="366">
        <f ca="1"/>
        <v>69.95</v>
      </c>
      <c r="C68" vm="367">
        <f ca="1"/>
        <v>67.92</v>
      </c>
      <c r="D68" vm="368">
        <f ca="1"/>
        <v>70.47</v>
      </c>
      <c r="E68" vm="369">
        <f ca="1"/>
        <v>67.28</v>
      </c>
      <c r="F68" vm="370">
        <f ca="1"/>
        <v>27918675</v>
      </c>
      <c r="G68" s="2">
        <f ca="1">AVERAGE(B62:B68)</f>
        <v>70.435714285714283</v>
      </c>
      <c r="H68" s="2">
        <f t="shared" ca="1" si="4"/>
        <v>69.975000000000009</v>
      </c>
      <c r="I68" s="2">
        <f t="shared" ca="1" si="3"/>
        <v>68.956199999999967</v>
      </c>
      <c r="J68">
        <f ca="1">D68-E68</f>
        <v>3.1899999999999977</v>
      </c>
      <c r="K68" s="2">
        <f t="shared" ca="1" si="1"/>
        <v>1.4816349999999985</v>
      </c>
      <c r="L68" s="3">
        <f ca="1">(B68/$B$2)-1</f>
        <v>0.13114489003880991</v>
      </c>
      <c r="M68">
        <f ca="1">_xlfn.STDEV.P(L55:L68)</f>
        <v>2.2779095451031399E-2</v>
      </c>
      <c r="N68">
        <f t="shared" ca="1" si="2"/>
        <v>19790402.699999999</v>
      </c>
    </row>
    <row r="69" spans="1:14" x14ac:dyDescent="0.25">
      <c r="A69" vm="371">
        <f ca="1"/>
        <v>45757</v>
      </c>
      <c r="B69" vm="372">
        <f ca="1"/>
        <v>70.760000000000005</v>
      </c>
      <c r="C69" vm="232">
        <f ca="1"/>
        <v>70.19</v>
      </c>
      <c r="D69" vm="373">
        <f ca="1"/>
        <v>71.204999999999998</v>
      </c>
      <c r="E69" vm="374">
        <f ca="1"/>
        <v>68.98</v>
      </c>
      <c r="F69" vm="375">
        <f ca="1"/>
        <v>22450163</v>
      </c>
      <c r="G69" s="2">
        <f ca="1">AVERAGE(B63:B69)</f>
        <v>70.277142857142863</v>
      </c>
      <c r="H69" s="2">
        <f t="shared" ca="1" si="4"/>
        <v>70.032000000000011</v>
      </c>
      <c r="I69" s="2">
        <f t="shared" ca="1" si="3"/>
        <v>69.114799999999974</v>
      </c>
      <c r="J69">
        <f ca="1">D69-E69</f>
        <v>2.2249999999999943</v>
      </c>
      <c r="K69" s="2">
        <f t="shared" ca="1" si="1"/>
        <v>1.5444349999999987</v>
      </c>
      <c r="L69" s="3">
        <f ca="1">(B69/$B$2)-1</f>
        <v>0.14424320827943071</v>
      </c>
      <c r="M69">
        <f ca="1">_xlfn.STDEV.P(L56:L69)</f>
        <v>2.1871719046292263E-2</v>
      </c>
      <c r="N69">
        <f t="shared" ca="1" si="2"/>
        <v>20125582.449999999</v>
      </c>
    </row>
    <row r="70" spans="1:14" x14ac:dyDescent="0.25">
      <c r="A70" vm="376">
        <f ca="1"/>
        <v>45758</v>
      </c>
      <c r="B70" vm="250">
        <f ca="1"/>
        <v>71.430000000000007</v>
      </c>
      <c r="C70" vm="377">
        <f ca="1"/>
        <v>70.905000000000001</v>
      </c>
      <c r="D70" vm="378">
        <f ca="1"/>
        <v>71.849999999999994</v>
      </c>
      <c r="E70" vm="379">
        <f ca="1"/>
        <v>70.540000000000006</v>
      </c>
      <c r="F70" vm="380">
        <f ca="1"/>
        <v>19988203</v>
      </c>
      <c r="G70" s="2">
        <f ca="1">AVERAGE(B64:B70)</f>
        <v>70.291428571428568</v>
      </c>
      <c r="H70" s="2">
        <f t="shared" ca="1" si="4"/>
        <v>70.145500000000027</v>
      </c>
      <c r="I70" s="2">
        <f t="shared" ca="1" si="3"/>
        <v>69.262399999999985</v>
      </c>
      <c r="J70">
        <f ca="1">D70-E70</f>
        <v>1.3099999999999881</v>
      </c>
      <c r="K70" s="2">
        <f t="shared" ca="1" si="1"/>
        <v>1.565949999999998</v>
      </c>
      <c r="L70" s="3">
        <f ca="1">(B70/$B$2)-1</f>
        <v>0.15507761966364808</v>
      </c>
      <c r="M70">
        <f ca="1">_xlfn.STDEV.P(L57:L70)</f>
        <v>2.142852460871662E-2</v>
      </c>
      <c r="N70">
        <f t="shared" ca="1" si="2"/>
        <v>20414738.050000001</v>
      </c>
    </row>
    <row r="71" spans="1:14" x14ac:dyDescent="0.25">
      <c r="A71" vm="381">
        <f ca="1"/>
        <v>45761</v>
      </c>
      <c r="B71" vm="382">
        <f ca="1"/>
        <v>72.45</v>
      </c>
      <c r="C71" vm="383">
        <f ca="1"/>
        <v>71.3</v>
      </c>
      <c r="D71" vm="384">
        <f ca="1"/>
        <v>72.66</v>
      </c>
      <c r="E71" vm="385">
        <f ca="1"/>
        <v>70.930000000000007</v>
      </c>
      <c r="F71" vm="386">
        <f ca="1"/>
        <v>13930207</v>
      </c>
      <c r="G71" s="2">
        <f ca="1">AVERAGE(B65:B71)</f>
        <v>70.187142857142859</v>
      </c>
      <c r="H71" s="2">
        <f t="shared" ca="1" si="4"/>
        <v>70.262000000000015</v>
      </c>
      <c r="I71" s="2">
        <f t="shared" ca="1" si="3"/>
        <v>69.441799999999986</v>
      </c>
      <c r="J71">
        <f ca="1">D71-E71</f>
        <v>1.7299999999999898</v>
      </c>
      <c r="K71" s="2">
        <f t="shared" ca="1" si="1"/>
        <v>1.5979499999999973</v>
      </c>
      <c r="L71" s="3">
        <f ca="1">(B71/$B$2)-1</f>
        <v>0.17157179818887447</v>
      </c>
      <c r="M71">
        <f ca="1">_xlfn.STDEV.P(L58:L71)</f>
        <v>2.1473802427057171E-2</v>
      </c>
      <c r="N71">
        <f t="shared" ca="1" si="2"/>
        <v>20329508</v>
      </c>
    </row>
    <row r="72" spans="1:14" x14ac:dyDescent="0.25">
      <c r="A72" vm="387">
        <f ca="1"/>
        <v>45762</v>
      </c>
      <c r="B72" vm="388">
        <f ca="1"/>
        <v>71.86</v>
      </c>
      <c r="C72" vm="389">
        <f ca="1"/>
        <v>72.62</v>
      </c>
      <c r="D72" vm="390">
        <f ca="1"/>
        <v>72.63</v>
      </c>
      <c r="E72" vm="391">
        <f ca="1"/>
        <v>71.724999999999994</v>
      </c>
      <c r="F72" vm="392">
        <f ca="1"/>
        <v>14965492</v>
      </c>
      <c r="G72" s="2">
        <f ca="1">AVERAGE(B66:B72)</f>
        <v>70.462857142857146</v>
      </c>
      <c r="H72" s="2">
        <f t="shared" ca="1" si="4"/>
        <v>70.385999999999996</v>
      </c>
      <c r="I72" s="2">
        <f t="shared" ca="1" si="3"/>
        <v>69.611999999999995</v>
      </c>
      <c r="J72">
        <f ca="1">D72-E72</f>
        <v>0.90500000000000114</v>
      </c>
      <c r="K72" s="2">
        <f t="shared" ca="1" si="1"/>
        <v>1.5986999999999973</v>
      </c>
      <c r="L72" s="3">
        <f ca="1">(B72/$B$2)-1</f>
        <v>0.16203104786545919</v>
      </c>
      <c r="M72">
        <f ca="1">_xlfn.STDEV.P(L59:L72)</f>
        <v>2.1678597890745947E-2</v>
      </c>
      <c r="N72">
        <f t="shared" ca="1" si="2"/>
        <v>20444901.850000001</v>
      </c>
    </row>
    <row r="73" spans="1:14" x14ac:dyDescent="0.25">
      <c r="A73" vm="393">
        <f ca="1"/>
        <v>45763</v>
      </c>
      <c r="B73" vm="336">
        <f ca="1"/>
        <v>71.680000000000007</v>
      </c>
      <c r="C73" vm="228">
        <f ca="1"/>
        <v>72.36</v>
      </c>
      <c r="D73" vm="394">
        <f ca="1"/>
        <v>72.665000000000006</v>
      </c>
      <c r="E73" vm="395">
        <f ca="1"/>
        <v>71.385000000000005</v>
      </c>
      <c r="F73" vm="396">
        <f ca="1"/>
        <v>15276216</v>
      </c>
      <c r="G73" s="2">
        <f ca="1">AVERAGE(B67:B73)</f>
        <v>70.935714285714283</v>
      </c>
      <c r="H73" s="2">
        <f t="shared" ca="1" si="4"/>
        <v>70.506</v>
      </c>
      <c r="I73" s="2">
        <f t="shared" ca="1" si="3"/>
        <v>69.79219999999998</v>
      </c>
      <c r="J73">
        <f ca="1">D73-E73</f>
        <v>1.2800000000000011</v>
      </c>
      <c r="K73" s="2">
        <f t="shared" ca="1" si="1"/>
        <v>1.620699999999998</v>
      </c>
      <c r="L73" s="3">
        <f ca="1">(B73/$B$2)-1</f>
        <v>0.15912031047865471</v>
      </c>
      <c r="M73">
        <f ca="1">_xlfn.STDEV.P(L60:L73)</f>
        <v>2.1919648270447442E-2</v>
      </c>
      <c r="N73">
        <f t="shared" ca="1" si="2"/>
        <v>20469712.300000001</v>
      </c>
    </row>
    <row r="74" spans="1:14" x14ac:dyDescent="0.25">
      <c r="A74" vm="397">
        <f ca="1"/>
        <v>45764</v>
      </c>
      <c r="B74" vm="398">
        <f ca="1"/>
        <v>73</v>
      </c>
      <c r="C74" vm="399">
        <f ca="1"/>
        <v>71.900000000000006</v>
      </c>
      <c r="D74" vm="400">
        <f ca="1"/>
        <v>73.424999999999997</v>
      </c>
      <c r="E74" vm="401">
        <f ca="1"/>
        <v>71.72</v>
      </c>
      <c r="F74" vm="402">
        <f ca="1"/>
        <v>20754495</v>
      </c>
      <c r="G74" s="2">
        <f ca="1">AVERAGE(B68:B74)</f>
        <v>71.59</v>
      </c>
      <c r="H74" s="2">
        <f t="shared" ca="1" si="4"/>
        <v>70.670500000000004</v>
      </c>
      <c r="I74" s="2">
        <f t="shared" ca="1" si="3"/>
        <v>69.989799999999974</v>
      </c>
      <c r="J74">
        <f ca="1">D74-E74</f>
        <v>1.7049999999999983</v>
      </c>
      <c r="K74" s="2">
        <f t="shared" ca="1" si="1"/>
        <v>1.6699499999999978</v>
      </c>
      <c r="L74" s="3">
        <f ca="1">(B74/$B$2)-1</f>
        <v>0.18046571798188871</v>
      </c>
      <c r="M74">
        <f ca="1">_xlfn.STDEV.P(L61:L74)</f>
        <v>2.3324143193446938E-2</v>
      </c>
      <c r="N74">
        <f t="shared" ca="1" si="2"/>
        <v>20692673.899999999</v>
      </c>
    </row>
    <row r="75" spans="1:14" x14ac:dyDescent="0.25">
      <c r="A75" vm="403">
        <f ca="1"/>
        <v>45768</v>
      </c>
      <c r="B75" vm="404">
        <f ca="1"/>
        <v>72.77</v>
      </c>
      <c r="C75" vm="405">
        <f ca="1"/>
        <v>73.38</v>
      </c>
      <c r="D75" vm="406">
        <f ca="1"/>
        <v>73.472300000000004</v>
      </c>
      <c r="E75" vm="252">
        <f ca="1"/>
        <v>71.819999999999993</v>
      </c>
      <c r="F75" vm="407">
        <f ca="1"/>
        <v>16037190</v>
      </c>
      <c r="G75" s="2">
        <f ca="1">AVERAGE(B69:B75)</f>
        <v>71.992857142857147</v>
      </c>
      <c r="H75" s="2">
        <f t="shared" ca="1" si="4"/>
        <v>70.875500000000017</v>
      </c>
      <c r="I75" s="2">
        <f t="shared" ca="1" si="3"/>
        <v>70.177999999999969</v>
      </c>
      <c r="J75">
        <f ca="1">D75-E75</f>
        <v>1.652300000000011</v>
      </c>
      <c r="K75" s="2">
        <f t="shared" ca="1" si="1"/>
        <v>1.6630649999999989</v>
      </c>
      <c r="L75" s="3">
        <f ca="1">(B75/$B$2)-1</f>
        <v>0.1767464424320826</v>
      </c>
      <c r="M75">
        <f ca="1">_xlfn.STDEV.P(L62:L75)</f>
        <v>2.4246880683701798E-2</v>
      </c>
      <c r="N75">
        <f t="shared" ca="1" si="2"/>
        <v>19120559.75</v>
      </c>
    </row>
    <row r="76" spans="1:14" x14ac:dyDescent="0.25">
      <c r="A76" vm="408">
        <f ca="1"/>
        <v>45769</v>
      </c>
      <c r="B76" vm="409">
        <f ca="1"/>
        <v>73.900000000000006</v>
      </c>
      <c r="C76" vm="398">
        <f ca="1"/>
        <v>73</v>
      </c>
      <c r="D76" vm="410">
        <f ca="1"/>
        <v>74.38</v>
      </c>
      <c r="E76" vm="411">
        <f ca="1"/>
        <v>72.92</v>
      </c>
      <c r="F76" vm="412">
        <f ca="1"/>
        <v>15613518</v>
      </c>
      <c r="G76" s="2">
        <f ca="1">AVERAGE(B70:B76)</f>
        <v>72.441428571428574</v>
      </c>
      <c r="H76" s="2">
        <f t="shared" ca="1" si="4"/>
        <v>71.123000000000019</v>
      </c>
      <c r="I76" s="2">
        <f t="shared" ca="1" si="3"/>
        <v>70.379199999999983</v>
      </c>
      <c r="J76">
        <f ca="1">D76-E76</f>
        <v>1.4599999999999937</v>
      </c>
      <c r="K76" s="2">
        <f t="shared" ca="1" si="1"/>
        <v>1.6985649999999985</v>
      </c>
      <c r="L76" s="3">
        <f ca="1">(B76/$B$2)-1</f>
        <v>0.19501940491591196</v>
      </c>
      <c r="M76">
        <f ca="1">_xlfn.STDEV.P(L63:L76)</f>
        <v>2.662909742624112E-2</v>
      </c>
      <c r="N76">
        <f t="shared" ca="1" si="2"/>
        <v>19272465.050000001</v>
      </c>
    </row>
    <row r="77" spans="1:14" x14ac:dyDescent="0.25">
      <c r="A77" vm="413">
        <f ca="1"/>
        <v>45770</v>
      </c>
      <c r="B77" vm="414">
        <f ca="1"/>
        <v>73.3</v>
      </c>
      <c r="C77" vm="415">
        <f ca="1"/>
        <v>73.290000000000006</v>
      </c>
      <c r="D77" vm="347">
        <f ca="1"/>
        <v>73.95</v>
      </c>
      <c r="E77" vm="416">
        <f ca="1"/>
        <v>72.38</v>
      </c>
      <c r="F77" vm="417">
        <f ca="1"/>
        <v>16353927</v>
      </c>
      <c r="G77" s="2">
        <f ca="1">AVERAGE(B71:B77)</f>
        <v>72.708571428571432</v>
      </c>
      <c r="H77" s="2">
        <f t="shared" ca="1" si="4"/>
        <v>71.347499999999997</v>
      </c>
      <c r="I77" s="2">
        <f t="shared" ca="1" si="3"/>
        <v>70.554199999999994</v>
      </c>
      <c r="J77">
        <f ca="1">D77-E77</f>
        <v>1.5700000000000074</v>
      </c>
      <c r="K77" s="2">
        <f t="shared" ca="1" si="1"/>
        <v>1.7530649999999988</v>
      </c>
      <c r="L77" s="3">
        <f ca="1">(B77/$B$2)-1</f>
        <v>0.18531694695989631</v>
      </c>
      <c r="M77">
        <f ca="1">_xlfn.STDEV.P(L64:L77)</f>
        <v>2.7825596585341689E-2</v>
      </c>
      <c r="N77">
        <f t="shared" ca="1" si="2"/>
        <v>19464466.550000001</v>
      </c>
    </row>
    <row r="78" spans="1:14" x14ac:dyDescent="0.25">
      <c r="A78" vm="418">
        <f ca="1"/>
        <v>45771</v>
      </c>
      <c r="B78" vm="419">
        <f ca="1"/>
        <v>72.52</v>
      </c>
      <c r="C78" vm="420">
        <f ca="1"/>
        <v>73.02</v>
      </c>
      <c r="D78" vm="400">
        <f ca="1"/>
        <v>73.424999999999997</v>
      </c>
      <c r="E78" vm="421">
        <f ca="1"/>
        <v>72.3</v>
      </c>
      <c r="F78" vm="422">
        <f ca="1"/>
        <v>16893861</v>
      </c>
      <c r="G78" s="2">
        <f ca="1">AVERAGE(B72:B78)</f>
        <v>72.718571428571437</v>
      </c>
      <c r="H78" s="2">
        <f t="shared" ca="1" si="4"/>
        <v>71.472499999999997</v>
      </c>
      <c r="I78" s="2">
        <f t="shared" ca="1" si="3"/>
        <v>70.652599999999993</v>
      </c>
      <c r="J78">
        <f ca="1">D78-E78</f>
        <v>1.125</v>
      </c>
      <c r="K78" s="2">
        <f t="shared" ca="1" si="1"/>
        <v>1.7368149999999993</v>
      </c>
      <c r="L78" s="3">
        <f ca="1">(B78/$B$2)-1</f>
        <v>0.17270375161707618</v>
      </c>
      <c r="M78">
        <f ca="1">_xlfn.STDEV.P(L65:L78)</f>
        <v>2.7210260408664633E-2</v>
      </c>
      <c r="N78">
        <f t="shared" ca="1" si="2"/>
        <v>19585021.399999999</v>
      </c>
    </row>
    <row r="79" spans="1:14" x14ac:dyDescent="0.25">
      <c r="A79" vm="423">
        <f ca="1"/>
        <v>45772</v>
      </c>
      <c r="B79" vm="337">
        <f ca="1"/>
        <v>71.91</v>
      </c>
      <c r="C79" vm="234">
        <f ca="1"/>
        <v>72.650000000000006</v>
      </c>
      <c r="D79" vm="411">
        <f ca="1"/>
        <v>72.92</v>
      </c>
      <c r="E79" vm="424">
        <f ca="1"/>
        <v>71.125</v>
      </c>
      <c r="F79" vm="425">
        <f ca="1"/>
        <v>16315984</v>
      </c>
      <c r="G79" s="2">
        <f ca="1">AVERAGE(B73:B79)</f>
        <v>72.72571428571429</v>
      </c>
      <c r="H79" s="2">
        <f t="shared" ca="1" si="4"/>
        <v>71.531000000000006</v>
      </c>
      <c r="I79" s="2">
        <f t="shared" ca="1" si="3"/>
        <v>70.716599999999985</v>
      </c>
      <c r="J79">
        <f ca="1">D79-E79</f>
        <v>1.7950000000000017</v>
      </c>
      <c r="K79" s="2">
        <f t="shared" ca="1" si="1"/>
        <v>1.7808149999999991</v>
      </c>
      <c r="L79" s="3">
        <f ca="1">(B79/$B$2)-1</f>
        <v>0.16283958602846038</v>
      </c>
      <c r="M79">
        <f ca="1">_xlfn.STDEV.P(L66:L79)</f>
        <v>2.6377166502938264E-2</v>
      </c>
      <c r="N79">
        <f t="shared" ca="1" si="2"/>
        <v>19817652.350000001</v>
      </c>
    </row>
    <row r="80" spans="1:14" x14ac:dyDescent="0.25">
      <c r="A80" vm="426">
        <f ca="1"/>
        <v>45775</v>
      </c>
      <c r="B80" vm="427">
        <f ca="1"/>
        <v>71.790000000000006</v>
      </c>
      <c r="C80" vm="428">
        <f ca="1"/>
        <v>72.075000000000003</v>
      </c>
      <c r="D80" vm="429">
        <f ca="1"/>
        <v>72.260000000000005</v>
      </c>
      <c r="E80" vm="430">
        <f ca="1"/>
        <v>71.31</v>
      </c>
      <c r="F80" vm="431">
        <f ca="1"/>
        <v>15997495</v>
      </c>
      <c r="G80" s="2">
        <f ca="1">AVERAGE(B74:B80)</f>
        <v>72.741428571428571</v>
      </c>
      <c r="H80" s="2">
        <f t="shared" ca="1" si="4"/>
        <v>71.602000000000004</v>
      </c>
      <c r="I80" s="2">
        <f t="shared" ca="1" si="3"/>
        <v>70.7624</v>
      </c>
      <c r="J80">
        <f ca="1">D80-E80</f>
        <v>0.95000000000000284</v>
      </c>
      <c r="K80" s="2">
        <f t="shared" ca="1" si="1"/>
        <v>1.7390649999999994</v>
      </c>
      <c r="L80" s="3">
        <f ca="1">(B80/$B$2)-1</f>
        <v>0.16089909443725747</v>
      </c>
      <c r="M80">
        <f ca="1">_xlfn.STDEV.P(L67:L80)</f>
        <v>2.2060997031508944E-2</v>
      </c>
      <c r="N80">
        <f t="shared" ca="1" si="2"/>
        <v>19746881.350000001</v>
      </c>
    </row>
    <row r="81" spans="1:14" x14ac:dyDescent="0.25">
      <c r="A81" vm="432">
        <f ca="1"/>
        <v>45776</v>
      </c>
      <c r="B81" vm="433">
        <f ca="1"/>
        <v>72.349999999999994</v>
      </c>
      <c r="C81" vm="434">
        <f ca="1"/>
        <v>71.19</v>
      </c>
      <c r="D81" vm="435">
        <f ca="1"/>
        <v>72.709999999999994</v>
      </c>
      <c r="E81" vm="436">
        <f ca="1"/>
        <v>70.28</v>
      </c>
      <c r="F81" vm="437">
        <f ca="1"/>
        <v>16244057</v>
      </c>
      <c r="G81" s="2">
        <f ca="1">AVERAGE(B75:B81)</f>
        <v>72.648571428571429</v>
      </c>
      <c r="H81" s="2">
        <f t="shared" ca="1" si="4"/>
        <v>71.638499999999993</v>
      </c>
      <c r="I81" s="2">
        <f t="shared" ca="1" si="3"/>
        <v>70.831999999999994</v>
      </c>
      <c r="J81">
        <f ca="1">D81-E81</f>
        <v>2.4299999999999926</v>
      </c>
      <c r="K81" s="2">
        <f t="shared" ca="1" si="1"/>
        <v>1.7881899999999988</v>
      </c>
      <c r="L81" s="3">
        <f ca="1">(B81/$B$2)-1</f>
        <v>0.16995472186287186</v>
      </c>
      <c r="M81">
        <f ca="1">_xlfn.STDEV.P(L68:L81)</f>
        <v>1.5896005316221637E-2</v>
      </c>
      <c r="N81">
        <f t="shared" ca="1" si="2"/>
        <v>19358240.899999999</v>
      </c>
    </row>
    <row r="82" spans="1:14" x14ac:dyDescent="0.25">
      <c r="A82" vm="438">
        <f ca="1"/>
        <v>45777</v>
      </c>
      <c r="B82" vm="439">
        <f ca="1"/>
        <v>72.55</v>
      </c>
      <c r="C82" vm="440">
        <f ca="1"/>
        <v>73.349999999999994</v>
      </c>
      <c r="D82" vm="441">
        <f ca="1"/>
        <v>73.48</v>
      </c>
      <c r="E82" vm="442">
        <f ca="1"/>
        <v>71.685000000000002</v>
      </c>
      <c r="F82" vm="443">
        <f ca="1"/>
        <v>21074652</v>
      </c>
      <c r="G82" s="2">
        <f ca="1">AVERAGE(B76:B82)</f>
        <v>72.617142857142852</v>
      </c>
      <c r="H82" s="2">
        <f t="shared" ca="1" si="4"/>
        <v>71.672499999999999</v>
      </c>
      <c r="I82" s="2">
        <f t="shared" ca="1" si="3"/>
        <v>70.902000000000001</v>
      </c>
      <c r="J82">
        <f ca="1">D82-E82</f>
        <v>1.7950000000000017</v>
      </c>
      <c r="K82" s="2">
        <f t="shared" ca="1" si="1"/>
        <v>1.8416899999999992</v>
      </c>
      <c r="L82" s="3">
        <f ca="1">(B82/$B$2)-1</f>
        <v>0.17318887451487708</v>
      </c>
      <c r="M82">
        <f ca="1">_xlfn.STDEV.P(L69:L82)</f>
        <v>1.2618784272289889E-2</v>
      </c>
      <c r="N82">
        <f t="shared" ca="1" si="2"/>
        <v>19646516.199999999</v>
      </c>
    </row>
    <row r="83" spans="1:14" x14ac:dyDescent="0.25">
      <c r="A83" vm="444">
        <f ca="1"/>
        <v>45778</v>
      </c>
      <c r="B83" vm="445">
        <f ca="1"/>
        <v>71.290000000000006</v>
      </c>
      <c r="C83" vm="446">
        <f ca="1"/>
        <v>72</v>
      </c>
      <c r="D83" vm="262">
        <f ca="1"/>
        <v>72.040000000000006</v>
      </c>
      <c r="E83" vm="447">
        <f ca="1"/>
        <v>71.23</v>
      </c>
      <c r="F83" vm="448">
        <f ca="1"/>
        <v>18034163</v>
      </c>
      <c r="G83" s="2">
        <f ca="1">AVERAGE(B77:B83)</f>
        <v>72.244285714285724</v>
      </c>
      <c r="H83" s="2">
        <f t="shared" ca="1" si="4"/>
        <v>71.67049999999999</v>
      </c>
      <c r="I83" s="2">
        <f t="shared" ref="I83:I114" ca="1" si="5">AVERAGE(B34:B83)</f>
        <v>70.926400000000001</v>
      </c>
      <c r="J83">
        <f ca="1">D83-E83</f>
        <v>0.81000000000000227</v>
      </c>
      <c r="K83" s="2">
        <f t="shared" ca="1" si="1"/>
        <v>1.816689999999999</v>
      </c>
      <c r="L83" s="3">
        <f ca="1">(B83/$B$2)-1</f>
        <v>0.15281371280724443</v>
      </c>
      <c r="M83">
        <f ca="1">_xlfn.STDEV.P(L70:L83)</f>
        <v>1.1554933559270701E-2</v>
      </c>
      <c r="N83">
        <f t="shared" ca="1" si="2"/>
        <v>19817898.399999999</v>
      </c>
    </row>
    <row r="84" spans="1:14" x14ac:dyDescent="0.25">
      <c r="A84" vm="449">
        <f ca="1"/>
        <v>45779</v>
      </c>
      <c r="B84" vm="450">
        <f ca="1"/>
        <v>71.650000000000006</v>
      </c>
      <c r="C84" vm="451">
        <f ca="1"/>
        <v>71.5</v>
      </c>
      <c r="D84" vm="452">
        <f ca="1"/>
        <v>71.814999999999998</v>
      </c>
      <c r="E84" vm="453">
        <f ca="1"/>
        <v>71.094999999999999</v>
      </c>
      <c r="F84" vm="454">
        <f ca="1"/>
        <v>12629593</v>
      </c>
      <c r="G84" s="2">
        <f ca="1">AVERAGE(B78:B84)</f>
        <v>72.008571428571443</v>
      </c>
      <c r="H84" s="2">
        <f t="shared" ca="1" si="4"/>
        <v>71.59399999999998</v>
      </c>
      <c r="I84" s="2">
        <f t="shared" ca="1" si="5"/>
        <v>70.95859999999999</v>
      </c>
      <c r="J84">
        <f ca="1">D84-E84</f>
        <v>0.71999999999999886</v>
      </c>
      <c r="K84" s="2">
        <f t="shared" ca="1" si="1"/>
        <v>1.7711899999999985</v>
      </c>
      <c r="L84" s="3">
        <f ca="1">(B84/$B$2)-1</f>
        <v>0.15863518758085382</v>
      </c>
      <c r="M84">
        <f ca="1">_xlfn.STDEV.P(L71:L84)</f>
        <v>1.1262936551380495E-2</v>
      </c>
      <c r="N84">
        <f t="shared" ca="1" si="2"/>
        <v>19201398.399999999</v>
      </c>
    </row>
    <row r="85" spans="1:14" x14ac:dyDescent="0.25">
      <c r="A85" vm="455">
        <f ca="1"/>
        <v>45782</v>
      </c>
      <c r="B85" vm="456">
        <f ca="1"/>
        <v>71.7</v>
      </c>
      <c r="C85" vm="457">
        <f ca="1"/>
        <v>71.67</v>
      </c>
      <c r="D85" vm="458">
        <f ca="1"/>
        <v>71.8</v>
      </c>
      <c r="E85" vm="459">
        <f ca="1"/>
        <v>71.010000000000005</v>
      </c>
      <c r="F85" vm="460">
        <f ca="1"/>
        <v>11932687</v>
      </c>
      <c r="G85" s="2">
        <f ca="1">AVERAGE(B79:B85)</f>
        <v>71.891428571428563</v>
      </c>
      <c r="H85" s="2">
        <f t="shared" ref="H85:H116" ca="1" si="6">AVERAGE(B66:B85)</f>
        <v>71.68249999999999</v>
      </c>
      <c r="I85" s="2">
        <f t="shared" ca="1" si="5"/>
        <v>70.965599999999995</v>
      </c>
      <c r="J85">
        <f ca="1">D85-E85</f>
        <v>0.78999999999999204</v>
      </c>
      <c r="K85" s="2">
        <f t="shared" ca="1" si="1"/>
        <v>1.6496899999999983</v>
      </c>
      <c r="L85" s="3">
        <f ca="1">(B85/$B$2)-1</f>
        <v>0.15944372574385501</v>
      </c>
      <c r="M85">
        <f ca="1">_xlfn.STDEV.P(L72:L85)</f>
        <v>1.1577916423480503E-2</v>
      </c>
      <c r="N85">
        <f t="shared" ca="1" si="2"/>
        <v>18472168.300000001</v>
      </c>
    </row>
    <row r="86" spans="1:14" x14ac:dyDescent="0.25">
      <c r="A86" vm="461">
        <f ca="1"/>
        <v>45783</v>
      </c>
      <c r="B86" vm="401">
        <f ca="1"/>
        <v>71.72</v>
      </c>
      <c r="C86" vm="462">
        <f ca="1"/>
        <v>71.674999999999997</v>
      </c>
      <c r="D86" vm="399">
        <f ca="1"/>
        <v>71.900000000000006</v>
      </c>
      <c r="E86" vm="463">
        <f ca="1"/>
        <v>71.16</v>
      </c>
      <c r="F86" vm="464">
        <f ca="1"/>
        <v>12705475</v>
      </c>
      <c r="G86" s="2">
        <f ca="1">AVERAGE(B80:B86)</f>
        <v>71.864285714285714</v>
      </c>
      <c r="H86" s="2">
        <f t="shared" ca="1" si="6"/>
        <v>71.849999999999994</v>
      </c>
      <c r="I86" s="2">
        <f t="shared" ca="1" si="5"/>
        <v>70.988199999999992</v>
      </c>
      <c r="J86">
        <f ca="1">D86-E86</f>
        <v>0.74000000000000909</v>
      </c>
      <c r="K86" s="2">
        <f t="shared" ref="K86:K149" ca="1" si="7">AVERAGE(J67:J86)</f>
        <v>1.5201899999999988</v>
      </c>
      <c r="L86" s="3">
        <f ca="1">(B86/$B$2)-1</f>
        <v>0.15976714100905554</v>
      </c>
      <c r="M86">
        <f ca="1">_xlfn.STDEV.P(L73:L86)</f>
        <v>1.1692535365355966E-2</v>
      </c>
      <c r="N86">
        <f t="shared" ref="N86:N149" ca="1" si="8">AVERAGE(F67:F86)</f>
        <v>17394523.899999999</v>
      </c>
    </row>
    <row r="87" spans="1:14" x14ac:dyDescent="0.25">
      <c r="A87" vm="465">
        <f ca="1"/>
        <v>45784</v>
      </c>
      <c r="B87" vm="466">
        <f ca="1"/>
        <v>72.400000000000006</v>
      </c>
      <c r="C87" vm="401">
        <f ca="1"/>
        <v>71.72</v>
      </c>
      <c r="D87" vm="467">
        <f ca="1"/>
        <v>72.685000000000002</v>
      </c>
      <c r="E87" vm="457">
        <f ca="1"/>
        <v>71.67</v>
      </c>
      <c r="F87" vm="468">
        <f ca="1"/>
        <v>15025786</v>
      </c>
      <c r="G87" s="2">
        <f ca="1">AVERAGE(B81:B87)</f>
        <v>71.951428571428565</v>
      </c>
      <c r="H87" s="2">
        <f t="shared" ca="1" si="6"/>
        <v>72.049000000000007</v>
      </c>
      <c r="I87" s="2">
        <f t="shared" ca="1" si="5"/>
        <v>71.006399999999985</v>
      </c>
      <c r="J87">
        <f ca="1">D87-E87</f>
        <v>1.0150000000000006</v>
      </c>
      <c r="K87" s="2">
        <f t="shared" ca="1" si="7"/>
        <v>1.4598649999999993</v>
      </c>
      <c r="L87" s="3">
        <f ca="1">(B87/$B$2)-1</f>
        <v>0.17076326002587328</v>
      </c>
      <c r="M87">
        <f ca="1">_xlfn.STDEV.P(L74:L87)</f>
        <v>1.1365084965168176E-2</v>
      </c>
      <c r="N87">
        <f t="shared" ca="1" si="8"/>
        <v>17007091.949999999</v>
      </c>
    </row>
    <row r="88" spans="1:14" x14ac:dyDescent="0.25">
      <c r="A88" vm="469">
        <f ca="1"/>
        <v>45785</v>
      </c>
      <c r="B88" vm="470">
        <f ca="1"/>
        <v>71.17</v>
      </c>
      <c r="C88" vm="471">
        <f ca="1"/>
        <v>72.2</v>
      </c>
      <c r="D88" vm="472">
        <f ca="1"/>
        <v>72.47</v>
      </c>
      <c r="E88" vm="473">
        <f ca="1"/>
        <v>71.13</v>
      </c>
      <c r="F88" vm="474">
        <f ca="1"/>
        <v>14371061</v>
      </c>
      <c r="G88" s="2">
        <f ca="1">AVERAGE(B82:B88)</f>
        <v>71.782857142857139</v>
      </c>
      <c r="H88" s="2">
        <f t="shared" ca="1" si="6"/>
        <v>72.110000000000014</v>
      </c>
      <c r="I88" s="2">
        <f t="shared" ca="1" si="5"/>
        <v>71.013799999999989</v>
      </c>
      <c r="J88">
        <f ca="1">D88-E88</f>
        <v>1.3400000000000034</v>
      </c>
      <c r="K88" s="2">
        <f t="shared" ca="1" si="7"/>
        <v>1.3673649999999995</v>
      </c>
      <c r="L88" s="3">
        <f ca="1">(B88/$B$2)-1</f>
        <v>0.1508732212160413</v>
      </c>
      <c r="M88">
        <f ca="1">_xlfn.STDEV.P(L75:L88)</f>
        <v>1.1940224894163264E-2</v>
      </c>
      <c r="N88">
        <f t="shared" ca="1" si="8"/>
        <v>16329711.25</v>
      </c>
    </row>
    <row r="89" spans="1:14" x14ac:dyDescent="0.25">
      <c r="A89" vm="475">
        <f ca="1"/>
        <v>45786</v>
      </c>
      <c r="B89" vm="476">
        <f ca="1"/>
        <v>70.52</v>
      </c>
      <c r="C89" vm="477">
        <f ca="1"/>
        <v>70.989999999999995</v>
      </c>
      <c r="D89" vm="478">
        <f ca="1"/>
        <v>71.150000000000006</v>
      </c>
      <c r="E89" vm="244">
        <f ca="1"/>
        <v>70.459999999999994</v>
      </c>
      <c r="F89" vm="479">
        <f ca="1"/>
        <v>11228947</v>
      </c>
      <c r="G89" s="2">
        <f ca="1">AVERAGE(B83:B89)</f>
        <v>71.492857142857147</v>
      </c>
      <c r="H89" s="2">
        <f t="shared" ca="1" si="6"/>
        <v>72.097999999999999</v>
      </c>
      <c r="I89" s="2">
        <f t="shared" ca="1" si="5"/>
        <v>71.006799999999984</v>
      </c>
      <c r="J89">
        <f ca="1">D89-E89</f>
        <v>0.69000000000001194</v>
      </c>
      <c r="K89" s="2">
        <f t="shared" ca="1" si="7"/>
        <v>1.2906150000000003</v>
      </c>
      <c r="L89" s="3">
        <f ca="1">(B89/$B$2)-1</f>
        <v>0.14036222509702445</v>
      </c>
      <c r="M89">
        <f ca="1">_xlfn.STDEV.P(L76:L89)</f>
        <v>1.3556704188858924E-2</v>
      </c>
      <c r="N89">
        <f t="shared" ca="1" si="8"/>
        <v>15768650.449999999</v>
      </c>
    </row>
    <row r="90" spans="1:14" x14ac:dyDescent="0.25">
      <c r="A90" vm="480">
        <f ca="1"/>
        <v>45789</v>
      </c>
      <c r="B90" vm="327">
        <f ca="1"/>
        <v>69.53</v>
      </c>
      <c r="C90" vm="481">
        <f ca="1"/>
        <v>70.144999999999996</v>
      </c>
      <c r="D90" vm="199">
        <f ca="1"/>
        <v>70.33</v>
      </c>
      <c r="E90" vm="482">
        <f ca="1"/>
        <v>68.7</v>
      </c>
      <c r="F90" vm="483">
        <f ca="1"/>
        <v>21539013</v>
      </c>
      <c r="G90" s="2">
        <f ca="1">AVERAGE(B84:B90)</f>
        <v>71.241428571428585</v>
      </c>
      <c r="H90" s="2">
        <f t="shared" ca="1" si="6"/>
        <v>72.003</v>
      </c>
      <c r="I90" s="2">
        <f t="shared" ca="1" si="5"/>
        <v>70.973199999999991</v>
      </c>
      <c r="J90">
        <f ca="1">D90-E90</f>
        <v>1.6299999999999955</v>
      </c>
      <c r="K90" s="2">
        <f t="shared" ca="1" si="7"/>
        <v>1.3066150000000007</v>
      </c>
      <c r="L90" s="3">
        <f ca="1">(B90/$B$2)-1</f>
        <v>0.12435316946959896</v>
      </c>
      <c r="M90">
        <f ca="1">_xlfn.STDEV.P(L77:L90)</f>
        <v>1.4622242046420986E-2</v>
      </c>
      <c r="N90">
        <f t="shared" ca="1" si="8"/>
        <v>15846190.949999999</v>
      </c>
    </row>
    <row r="91" spans="1:14" x14ac:dyDescent="0.25">
      <c r="A91" vm="484">
        <f ca="1"/>
        <v>45790</v>
      </c>
      <c r="B91" vm="361">
        <f ca="1"/>
        <v>68.959999999999994</v>
      </c>
      <c r="C91" vm="485">
        <f ca="1"/>
        <v>69.59</v>
      </c>
      <c r="D91" vm="486">
        <f ca="1"/>
        <v>69.69</v>
      </c>
      <c r="E91" vm="168">
        <f ca="1"/>
        <v>68.87</v>
      </c>
      <c r="F91" vm="487">
        <f ca="1"/>
        <v>14389053</v>
      </c>
      <c r="G91" s="2">
        <f ca="1">AVERAGE(B85:B91)</f>
        <v>70.857142857142847</v>
      </c>
      <c r="H91" s="2">
        <f t="shared" ca="1" si="6"/>
        <v>71.828500000000005</v>
      </c>
      <c r="I91" s="2">
        <f t="shared" ca="1" si="5"/>
        <v>70.906000000000006</v>
      </c>
      <c r="J91">
        <f ca="1">D91-E91</f>
        <v>0.81999999999999318</v>
      </c>
      <c r="K91" s="2">
        <f t="shared" ca="1" si="7"/>
        <v>1.2611150000000009</v>
      </c>
      <c r="L91" s="3">
        <f ca="1">(B91/$B$2)-1</f>
        <v>0.11513583441138397</v>
      </c>
      <c r="M91">
        <f ca="1">_xlfn.STDEV.P(L78:L91)</f>
        <v>1.6971756533528542E-2</v>
      </c>
      <c r="N91">
        <f t="shared" ca="1" si="8"/>
        <v>15869133.25</v>
      </c>
    </row>
    <row r="92" spans="1:14" x14ac:dyDescent="0.25">
      <c r="A92" vm="488">
        <f ca="1"/>
        <v>45791</v>
      </c>
      <c r="B92" vm="276">
        <f ca="1"/>
        <v>69.16</v>
      </c>
      <c r="C92" vm="489">
        <f ca="1"/>
        <v>68.88</v>
      </c>
      <c r="D92" vm="490">
        <f ca="1"/>
        <v>69.34</v>
      </c>
      <c r="E92" vm="491">
        <f ca="1"/>
        <v>68.58</v>
      </c>
      <c r="F92" vm="492">
        <f ca="1"/>
        <v>16286799</v>
      </c>
      <c r="G92" s="2">
        <f ca="1">AVERAGE(B86:B92)</f>
        <v>70.494285714285724</v>
      </c>
      <c r="H92" s="2">
        <f t="shared" ca="1" si="6"/>
        <v>71.6935</v>
      </c>
      <c r="I92" s="2">
        <f t="shared" ca="1" si="5"/>
        <v>70.885400000000004</v>
      </c>
      <c r="J92">
        <f ca="1">D92-E92</f>
        <v>0.76000000000000512</v>
      </c>
      <c r="K92" s="2">
        <f t="shared" ca="1" si="7"/>
        <v>1.2538650000000011</v>
      </c>
      <c r="L92" s="3">
        <f ca="1">(B92/$B$2)-1</f>
        <v>0.11836998706338919</v>
      </c>
      <c r="M92">
        <f ca="1">_xlfn.STDEV.P(L79:L92)</f>
        <v>1.8638457346292953E-2</v>
      </c>
      <c r="N92">
        <f t="shared" ca="1" si="8"/>
        <v>15935198.6</v>
      </c>
    </row>
    <row r="93" spans="1:14" x14ac:dyDescent="0.25">
      <c r="A93" vm="493">
        <f ca="1"/>
        <v>45792</v>
      </c>
      <c r="B93" vm="494">
        <f ca="1"/>
        <v>71.61</v>
      </c>
      <c r="C93" vm="495">
        <f ca="1"/>
        <v>69.7</v>
      </c>
      <c r="D93" vm="198">
        <f ca="1"/>
        <v>71.73</v>
      </c>
      <c r="E93" vm="496">
        <f ca="1"/>
        <v>69.599999999999994</v>
      </c>
      <c r="F93" vm="497">
        <f ca="1"/>
        <v>19817096</v>
      </c>
      <c r="G93" s="2">
        <f ca="1">AVERAGE(B87:B93)</f>
        <v>70.478571428571428</v>
      </c>
      <c r="H93" s="2">
        <f t="shared" ca="1" si="6"/>
        <v>71.69</v>
      </c>
      <c r="I93" s="2">
        <f t="shared" ca="1" si="5"/>
        <v>70.915999999999997</v>
      </c>
      <c r="J93">
        <f ca="1">D93-E93</f>
        <v>2.1300000000000097</v>
      </c>
      <c r="K93" s="2">
        <f t="shared" ca="1" si="7"/>
        <v>1.2963650000000015</v>
      </c>
      <c r="L93" s="3">
        <f ca="1">(B93/$B$2)-1</f>
        <v>0.15798835705045278</v>
      </c>
      <c r="M93">
        <f ca="1">_xlfn.STDEV.P(L80:L93)</f>
        <v>1.8463914091615748E-2</v>
      </c>
      <c r="N93">
        <f t="shared" ca="1" si="8"/>
        <v>16162242.6</v>
      </c>
    </row>
    <row r="94" spans="1:14" x14ac:dyDescent="0.25">
      <c r="A94" vm="498">
        <f ca="1"/>
        <v>45793</v>
      </c>
      <c r="B94" vm="446">
        <f ca="1"/>
        <v>72</v>
      </c>
      <c r="C94" vm="388">
        <f ca="1"/>
        <v>71.86</v>
      </c>
      <c r="D94" vm="429">
        <f ca="1"/>
        <v>72.260000000000005</v>
      </c>
      <c r="E94" vm="250">
        <f ca="1"/>
        <v>71.430000000000007</v>
      </c>
      <c r="F94" vm="499">
        <f ca="1"/>
        <v>18441200</v>
      </c>
      <c r="G94" s="2">
        <f ca="1">AVERAGE(B88:B94)</f>
        <v>70.421428571428578</v>
      </c>
      <c r="H94" s="2">
        <f t="shared" ca="1" si="6"/>
        <v>71.64</v>
      </c>
      <c r="I94" s="2">
        <f t="shared" ca="1" si="5"/>
        <v>70.946799999999996</v>
      </c>
      <c r="J94">
        <f ca="1">D94-E94</f>
        <v>0.82999999999999829</v>
      </c>
      <c r="K94" s="2">
        <f t="shared" ca="1" si="7"/>
        <v>1.2526150000000016</v>
      </c>
      <c r="L94" s="3">
        <f ca="1">(B94/$B$2)-1</f>
        <v>0.16429495472186284</v>
      </c>
      <c r="M94">
        <f ca="1">_xlfn.STDEV.P(L81:L94)</f>
        <v>1.8615412058805531E-2</v>
      </c>
      <c r="N94">
        <f t="shared" ca="1" si="8"/>
        <v>16046577.85</v>
      </c>
    </row>
    <row r="95" spans="1:14" x14ac:dyDescent="0.25">
      <c r="A95" vm="500">
        <f ca="1"/>
        <v>45796</v>
      </c>
      <c r="B95" vm="501">
        <f ca="1"/>
        <v>71.930000000000007</v>
      </c>
      <c r="C95" vm="502">
        <f ca="1"/>
        <v>72.03</v>
      </c>
      <c r="D95" vm="503">
        <f ca="1"/>
        <v>72.17</v>
      </c>
      <c r="E95" vm="504">
        <f ca="1"/>
        <v>71.64</v>
      </c>
      <c r="F95" vm="505">
        <f ca="1"/>
        <v>13282775</v>
      </c>
      <c r="G95" s="2">
        <f ca="1">AVERAGE(B89:B95)</f>
        <v>70.53</v>
      </c>
      <c r="H95" s="2">
        <f t="shared" ca="1" si="6"/>
        <v>71.597999999999999</v>
      </c>
      <c r="I95" s="2">
        <f t="shared" ca="1" si="5"/>
        <v>70.956800000000001</v>
      </c>
      <c r="J95">
        <f ca="1">D95-E95</f>
        <v>0.53000000000000114</v>
      </c>
      <c r="K95" s="2">
        <f t="shared" ca="1" si="7"/>
        <v>1.196500000000001</v>
      </c>
      <c r="L95" s="3">
        <f ca="1">(B95/$B$2)-1</f>
        <v>0.16316300129366113</v>
      </c>
      <c r="M95">
        <f ca="1">_xlfn.STDEV.P(L82:L95)</f>
        <v>1.8202666102583975E-2</v>
      </c>
      <c r="N95">
        <f t="shared" ca="1" si="8"/>
        <v>15908857.1</v>
      </c>
    </row>
    <row r="96" spans="1:14" x14ac:dyDescent="0.25">
      <c r="A96" vm="506">
        <f ca="1"/>
        <v>45797</v>
      </c>
      <c r="B96" vm="507">
        <f ca="1"/>
        <v>71.69</v>
      </c>
      <c r="C96" vm="458">
        <f ca="1"/>
        <v>71.8</v>
      </c>
      <c r="D96" vm="508">
        <f ca="1"/>
        <v>72.13</v>
      </c>
      <c r="E96" vm="250">
        <f ca="1"/>
        <v>71.430000000000007</v>
      </c>
      <c r="F96" vm="509">
        <f ca="1"/>
        <v>12137798</v>
      </c>
      <c r="G96" s="2">
        <f ca="1">AVERAGE(B90:B96)</f>
        <v>70.69714285714285</v>
      </c>
      <c r="H96" s="2">
        <f t="shared" ca="1" si="6"/>
        <v>71.487499999999997</v>
      </c>
      <c r="I96" s="2">
        <f t="shared" ca="1" si="5"/>
        <v>70.961600000000004</v>
      </c>
      <c r="J96">
        <f ca="1">D96-E96</f>
        <v>0.69999999999998863</v>
      </c>
      <c r="K96" s="2">
        <f t="shared" ca="1" si="7"/>
        <v>1.1585000000000008</v>
      </c>
      <c r="L96" s="3">
        <f ca="1">(B96/$B$2)-1</f>
        <v>0.15928201811125464</v>
      </c>
      <c r="M96">
        <f ca="1">_xlfn.STDEV.P(L83:L96)</f>
        <v>1.7303013545487494E-2</v>
      </c>
      <c r="N96">
        <f t="shared" ca="1" si="8"/>
        <v>15735071.1</v>
      </c>
    </row>
    <row r="97" spans="1:14" x14ac:dyDescent="0.25">
      <c r="A97" vm="510">
        <f ca="1"/>
        <v>45798</v>
      </c>
      <c r="B97" vm="378">
        <f ca="1"/>
        <v>71.849999999999994</v>
      </c>
      <c r="C97" vm="507">
        <f ca="1"/>
        <v>71.69</v>
      </c>
      <c r="D97" vm="511">
        <f ca="1"/>
        <v>72.08</v>
      </c>
      <c r="E97" vm="512">
        <f ca="1"/>
        <v>71.584999999999994</v>
      </c>
      <c r="F97" vm="513">
        <f ca="1"/>
        <v>12094424</v>
      </c>
      <c r="G97" s="2">
        <f ca="1">AVERAGE(B91:B97)</f>
        <v>71.028571428571439</v>
      </c>
      <c r="H97" s="2">
        <f t="shared" ca="1" si="6"/>
        <v>71.414999999999992</v>
      </c>
      <c r="I97" s="2">
        <f t="shared" ca="1" si="5"/>
        <v>70.977800000000002</v>
      </c>
      <c r="J97">
        <f ca="1">D97-E97</f>
        <v>0.49500000000000455</v>
      </c>
      <c r="K97" s="2">
        <f t="shared" ca="1" si="7"/>
        <v>1.1047500000000006</v>
      </c>
      <c r="L97" s="3">
        <f ca="1">(B97/$B$2)-1</f>
        <v>0.16186934023285882</v>
      </c>
      <c r="M97">
        <f ca="1">_xlfn.STDEV.P(L84:L97)</f>
        <v>1.7575910907486617E-2</v>
      </c>
      <c r="N97">
        <f t="shared" ca="1" si="8"/>
        <v>15522095.949999999</v>
      </c>
    </row>
    <row r="98" spans="1:14" x14ac:dyDescent="0.25">
      <c r="A98" vm="514">
        <f ca="1"/>
        <v>45799</v>
      </c>
      <c r="B98" vm="515">
        <f ca="1"/>
        <v>71.14</v>
      </c>
      <c r="C98" vm="516">
        <f ca="1"/>
        <v>71.84</v>
      </c>
      <c r="D98" vm="517">
        <f ca="1"/>
        <v>71.984999999999999</v>
      </c>
      <c r="E98" vm="518">
        <f ca="1"/>
        <v>70.959999999999994</v>
      </c>
      <c r="F98" vm="519">
        <f ca="1"/>
        <v>11101798</v>
      </c>
      <c r="G98" s="2">
        <f ca="1">AVERAGE(B92:B98)</f>
        <v>71.34</v>
      </c>
      <c r="H98" s="2">
        <f t="shared" ca="1" si="6"/>
        <v>71.345999999999989</v>
      </c>
      <c r="I98" s="2">
        <f t="shared" ca="1" si="5"/>
        <v>71.001800000000003</v>
      </c>
      <c r="J98">
        <f ca="1">D98-E98</f>
        <v>1.0250000000000057</v>
      </c>
      <c r="K98" s="2">
        <f t="shared" ca="1" si="7"/>
        <v>1.0997500000000009</v>
      </c>
      <c r="L98" s="3">
        <f ca="1">(B98/$B$2)-1</f>
        <v>0.15038809831824063</v>
      </c>
      <c r="M98">
        <f ca="1">_xlfn.STDEV.P(L85:L98)</f>
        <v>1.7424471181499354E-2</v>
      </c>
      <c r="N98">
        <f t="shared" ca="1" si="8"/>
        <v>15232492.800000001</v>
      </c>
    </row>
    <row r="99" spans="1:14" x14ac:dyDescent="0.25">
      <c r="A99" vm="520">
        <f ca="1"/>
        <v>45800</v>
      </c>
      <c r="B99" vm="521">
        <f ca="1"/>
        <v>71.77</v>
      </c>
      <c r="C99" vm="522">
        <f ca="1"/>
        <v>71.540000000000006</v>
      </c>
      <c r="D99" vm="523">
        <f ca="1"/>
        <v>71.98</v>
      </c>
      <c r="E99" vm="524">
        <f ca="1"/>
        <v>70.685000000000002</v>
      </c>
      <c r="F99" vm="525">
        <f ca="1"/>
        <v>12822145</v>
      </c>
      <c r="G99" s="2">
        <f ca="1">AVERAGE(B93:B99)</f>
        <v>71.712857142857146</v>
      </c>
      <c r="H99" s="2">
        <f t="shared" ca="1" si="6"/>
        <v>71.338999999999999</v>
      </c>
      <c r="I99" s="2">
        <f t="shared" ca="1" si="5"/>
        <v>71.044800000000009</v>
      </c>
      <c r="J99">
        <f ca="1">D99-E99</f>
        <v>1.2950000000000017</v>
      </c>
      <c r="K99" s="2">
        <f t="shared" ca="1" si="7"/>
        <v>1.074750000000001</v>
      </c>
      <c r="L99" s="3">
        <f ca="1">(B99/$B$2)-1</f>
        <v>0.16057567917205673</v>
      </c>
      <c r="M99">
        <f ca="1">_xlfn.STDEV.P(L86:L99)</f>
        <v>1.7471974087061273E-2</v>
      </c>
      <c r="N99">
        <f t="shared" ca="1" si="8"/>
        <v>15057800.85</v>
      </c>
    </row>
    <row r="100" spans="1:14" x14ac:dyDescent="0.25">
      <c r="A100" vm="526">
        <f ca="1"/>
        <v>45804</v>
      </c>
      <c r="B100" vm="527">
        <f ca="1"/>
        <v>71.78</v>
      </c>
      <c r="C100" vm="528">
        <f ca="1"/>
        <v>71.739999999999995</v>
      </c>
      <c r="D100" vm="529">
        <f ca="1"/>
        <v>72.22</v>
      </c>
      <c r="E100" vm="530">
        <f ca="1"/>
        <v>71.56</v>
      </c>
      <c r="F100" vm="531">
        <f ca="1"/>
        <v>10666102</v>
      </c>
      <c r="G100" s="2">
        <f ca="1">AVERAGE(B94:B100)</f>
        <v>71.737142857142857</v>
      </c>
      <c r="H100" s="2">
        <f t="shared" ca="1" si="6"/>
        <v>71.338499999999996</v>
      </c>
      <c r="I100" s="2">
        <f t="shared" ca="1" si="5"/>
        <v>71.097200000000015</v>
      </c>
      <c r="J100">
        <f ca="1">D100-E100</f>
        <v>0.65999999999999659</v>
      </c>
      <c r="K100" s="2">
        <f t="shared" ca="1" si="7"/>
        <v>1.0602500000000006</v>
      </c>
      <c r="L100" s="3">
        <f ca="1">(B100/$B$2)-1</f>
        <v>0.1607373868046571</v>
      </c>
      <c r="M100">
        <f ca="1">_xlfn.STDEV.P(L87:L100)</f>
        <v>1.7513251082461538E-2</v>
      </c>
      <c r="N100">
        <f t="shared" ca="1" si="8"/>
        <v>14791231.199999999</v>
      </c>
    </row>
    <row r="101" spans="1:14" x14ac:dyDescent="0.25">
      <c r="A101" vm="532">
        <f ca="1"/>
        <v>45805</v>
      </c>
      <c r="B101" vm="478">
        <f ca="1"/>
        <v>71.150000000000006</v>
      </c>
      <c r="C101" vm="456">
        <f ca="1"/>
        <v>71.7</v>
      </c>
      <c r="D101" vm="399">
        <f ca="1"/>
        <v>71.900000000000006</v>
      </c>
      <c r="E101" vm="342">
        <f ca="1"/>
        <v>71.05</v>
      </c>
      <c r="F101" vm="533">
        <f ca="1"/>
        <v>8710896</v>
      </c>
      <c r="G101" s="2">
        <f ca="1">AVERAGE(B95:B101)</f>
        <v>71.615714285714276</v>
      </c>
      <c r="H101" s="2">
        <f t="shared" ca="1" si="6"/>
        <v>71.278500000000008</v>
      </c>
      <c r="I101" s="2">
        <f t="shared" ca="1" si="5"/>
        <v>71.117800000000003</v>
      </c>
      <c r="J101">
        <f ca="1">D101-E101</f>
        <v>0.85000000000000853</v>
      </c>
      <c r="K101" s="2">
        <f t="shared" ca="1" si="7"/>
        <v>0.9812500000000014</v>
      </c>
      <c r="L101" s="3">
        <f ca="1">(B101/$B$2)-1</f>
        <v>0.150549805950841</v>
      </c>
      <c r="M101">
        <f ca="1">_xlfn.STDEV.P(L88:L101)</f>
        <v>1.653713784676062E-2</v>
      </c>
      <c r="N101">
        <f t="shared" ca="1" si="8"/>
        <v>14414573.15</v>
      </c>
    </row>
    <row r="102" spans="1:14" x14ac:dyDescent="0.25">
      <c r="A102" vm="534">
        <f ca="1"/>
        <v>45806</v>
      </c>
      <c r="B102" vm="202">
        <f ca="1"/>
        <v>71.489999999999995</v>
      </c>
      <c r="C102" vm="535">
        <f ca="1"/>
        <v>71</v>
      </c>
      <c r="D102" vm="536">
        <f ca="1"/>
        <v>71.66</v>
      </c>
      <c r="E102" vm="244">
        <f ca="1"/>
        <v>70.459999999999994</v>
      </c>
      <c r="F102" vm="537">
        <f ca="1"/>
        <v>10294095</v>
      </c>
      <c r="G102" s="2">
        <f ca="1">AVERAGE(B96:B102)</f>
        <v>71.55285714285715</v>
      </c>
      <c r="H102" s="2">
        <f t="shared" ca="1" si="6"/>
        <v>71.225500000000011</v>
      </c>
      <c r="I102" s="2">
        <f t="shared" ca="1" si="5"/>
        <v>71.16</v>
      </c>
      <c r="J102">
        <f ca="1">D102-E102</f>
        <v>1.2000000000000028</v>
      </c>
      <c r="K102" s="2">
        <f t="shared" ca="1" si="7"/>
        <v>0.95150000000000146</v>
      </c>
      <c r="L102" s="3">
        <f ca="1">(B102/$B$2)-1</f>
        <v>0.15604786545924942</v>
      </c>
      <c r="M102">
        <f ca="1">_xlfn.STDEV.P(L89:L102)</f>
        <v>1.6645213302683589E-2</v>
      </c>
      <c r="N102">
        <f t="shared" ca="1" si="8"/>
        <v>13875545.300000001</v>
      </c>
    </row>
    <row r="103" spans="1:14" x14ac:dyDescent="0.25">
      <c r="A103" vm="538">
        <f ca="1"/>
        <v>45807</v>
      </c>
      <c r="B103" vm="539">
        <f ca="1"/>
        <v>72.099999999999994</v>
      </c>
      <c r="C103" vm="540">
        <f ca="1"/>
        <v>71.605000000000004</v>
      </c>
      <c r="D103" vm="472">
        <f ca="1"/>
        <v>72.47</v>
      </c>
      <c r="E103" vm="540">
        <f ca="1"/>
        <v>71.605000000000004</v>
      </c>
      <c r="F103" vm="541">
        <f ca="1"/>
        <v>28019547</v>
      </c>
      <c r="G103" s="2">
        <f ca="1">AVERAGE(B97:B103)</f>
        <v>71.611428571428561</v>
      </c>
      <c r="H103" s="2">
        <f t="shared" ca="1" si="6"/>
        <v>71.266000000000005</v>
      </c>
      <c r="I103" s="2">
        <f t="shared" ca="1" si="5"/>
        <v>71.216399999999993</v>
      </c>
      <c r="J103">
        <f ca="1">D103-E103</f>
        <v>0.86499999999999488</v>
      </c>
      <c r="K103" s="2">
        <f t="shared" ca="1" si="7"/>
        <v>0.95425000000000115</v>
      </c>
      <c r="L103" s="3">
        <f ca="1">(B103/$B$2)-1</f>
        <v>0.16591203104786523</v>
      </c>
      <c r="M103">
        <f ca="1">_xlfn.STDEV.P(L90:L103)</f>
        <v>1.7017179534286667E-2</v>
      </c>
      <c r="N103">
        <f t="shared" ca="1" si="8"/>
        <v>14374814.5</v>
      </c>
    </row>
    <row r="104" spans="1:14" x14ac:dyDescent="0.25">
      <c r="A104" vm="542">
        <f ca="1"/>
        <v>45810</v>
      </c>
      <c r="B104" vm="446">
        <f ca="1"/>
        <v>72</v>
      </c>
      <c r="C104" vm="543">
        <f ca="1"/>
        <v>72.025000000000006</v>
      </c>
      <c r="D104" vm="262">
        <f ca="1"/>
        <v>72.040000000000006</v>
      </c>
      <c r="E104" vm="544">
        <f ca="1"/>
        <v>71.36</v>
      </c>
      <c r="F104" vm="545">
        <f ca="1"/>
        <v>10202737</v>
      </c>
      <c r="G104" s="2">
        <f ca="1">AVERAGE(B98:B104)</f>
        <v>71.632857142857148</v>
      </c>
      <c r="H104" s="2">
        <f t="shared" ca="1" si="6"/>
        <v>71.283500000000004</v>
      </c>
      <c r="I104" s="2">
        <f t="shared" ca="1" si="5"/>
        <v>71.262199999999993</v>
      </c>
      <c r="J104">
        <f ca="1">D104-E104</f>
        <v>0.68000000000000682</v>
      </c>
      <c r="K104" s="2">
        <f t="shared" ca="1" si="7"/>
        <v>0.95225000000000148</v>
      </c>
      <c r="L104" s="3">
        <f ca="1">(B104/$B$2)-1</f>
        <v>0.16429495472186284</v>
      </c>
      <c r="M104">
        <f ca="1">_xlfn.STDEV.P(L91:L104)</f>
        <v>1.5669254355129097E-2</v>
      </c>
      <c r="N104">
        <f t="shared" ca="1" si="8"/>
        <v>14253471.699999999</v>
      </c>
    </row>
    <row r="105" spans="1:14" x14ac:dyDescent="0.25">
      <c r="A105" vm="546">
        <f ca="1"/>
        <v>45811</v>
      </c>
      <c r="B105" vm="463">
        <f ca="1"/>
        <v>71.16</v>
      </c>
      <c r="C105" vm="547">
        <f ca="1"/>
        <v>71.709999999999994</v>
      </c>
      <c r="D105" vm="527">
        <f ca="1"/>
        <v>71.78</v>
      </c>
      <c r="E105" vm="548">
        <f ca="1"/>
        <v>70.474999999999994</v>
      </c>
      <c r="F105" vm="549">
        <f ca="1"/>
        <v>20139767</v>
      </c>
      <c r="G105" s="2">
        <f ca="1">AVERAGE(B99:B105)</f>
        <v>71.635714285714272</v>
      </c>
      <c r="H105" s="2">
        <f t="shared" ca="1" si="6"/>
        <v>71.256500000000003</v>
      </c>
      <c r="I105" s="2">
        <f t="shared" ca="1" si="5"/>
        <v>71.311999999999983</v>
      </c>
      <c r="J105">
        <f ca="1">D105-E105</f>
        <v>1.3050000000000068</v>
      </c>
      <c r="K105" s="2">
        <f t="shared" ca="1" si="7"/>
        <v>0.9780000000000022</v>
      </c>
      <c r="L105" s="3">
        <f ca="1">(B105/$B$2)-1</f>
        <v>0.15071151358344093</v>
      </c>
      <c r="M105">
        <f ca="1">_xlfn.STDEV.P(L92:L105)</f>
        <v>1.1603285846855582E-2</v>
      </c>
      <c r="N105">
        <f t="shared" ca="1" si="8"/>
        <v>14663825.699999999</v>
      </c>
    </row>
    <row r="106" spans="1:14" x14ac:dyDescent="0.25">
      <c r="A106" vm="550">
        <f ca="1"/>
        <v>45812</v>
      </c>
      <c r="B106" vm="551">
        <f ca="1"/>
        <v>71.37</v>
      </c>
      <c r="C106" vm="552">
        <f ca="1"/>
        <v>71.260000000000005</v>
      </c>
      <c r="D106" vm="553">
        <f ca="1"/>
        <v>71.844999999999999</v>
      </c>
      <c r="E106" vm="554">
        <f ca="1"/>
        <v>70.680000000000007</v>
      </c>
      <c r="F106" vm="555">
        <f ca="1"/>
        <v>13565891</v>
      </c>
      <c r="G106" s="2">
        <f ca="1">AVERAGE(B100:B106)</f>
        <v>71.578571428571422</v>
      </c>
      <c r="H106" s="2">
        <f t="shared" ca="1" si="6"/>
        <v>71.239000000000004</v>
      </c>
      <c r="I106" s="2">
        <f t="shared" ca="1" si="5"/>
        <v>71.360399999999984</v>
      </c>
      <c r="J106">
        <f ca="1">D106-E106</f>
        <v>1.164999999999992</v>
      </c>
      <c r="K106" s="2">
        <f t="shared" ca="1" si="7"/>
        <v>0.99925000000000141</v>
      </c>
      <c r="L106" s="3">
        <f ca="1">(B106/$B$2)-1</f>
        <v>0.15410737386804652</v>
      </c>
      <c r="M106">
        <f ca="1">_xlfn.STDEV.P(L93:L106)</f>
        <v>5.2119459395698767E-3</v>
      </c>
      <c r="N106">
        <f t="shared" ca="1" si="8"/>
        <v>14706846.5</v>
      </c>
    </row>
    <row r="107" spans="1:14" x14ac:dyDescent="0.25">
      <c r="A107" vm="556">
        <f ca="1"/>
        <v>45813</v>
      </c>
      <c r="B107" vm="557">
        <f ca="1"/>
        <v>70.91</v>
      </c>
      <c r="C107" vm="558">
        <f ca="1"/>
        <v>71.38</v>
      </c>
      <c r="D107" vm="559">
        <f ca="1"/>
        <v>71.454999999999998</v>
      </c>
      <c r="E107" vm="560">
        <f ca="1"/>
        <v>70.834999999999994</v>
      </c>
      <c r="F107" vm="561">
        <f ca="1"/>
        <v>13535619</v>
      </c>
      <c r="G107" s="2">
        <f ca="1">AVERAGE(B101:B107)</f>
        <v>71.454285714285703</v>
      </c>
      <c r="H107" s="2">
        <f t="shared" ca="1" si="6"/>
        <v>71.164500000000004</v>
      </c>
      <c r="I107" s="2">
        <f t="shared" ca="1" si="5"/>
        <v>71.402399999999986</v>
      </c>
      <c r="J107">
        <f ca="1">D107-E107</f>
        <v>0.62000000000000455</v>
      </c>
      <c r="K107" s="2">
        <f t="shared" ca="1" si="7"/>
        <v>0.97950000000000159</v>
      </c>
      <c r="L107" s="3">
        <f ca="1">(B107/$B$2)-1</f>
        <v>0.14666882276843451</v>
      </c>
      <c r="M107">
        <f ca="1">_xlfn.STDEV.P(L94:L107)</f>
        <v>6.0495311908441455E-3</v>
      </c>
      <c r="N107">
        <f t="shared" ca="1" si="8"/>
        <v>14632338.15</v>
      </c>
    </row>
    <row r="108" spans="1:14" x14ac:dyDescent="0.25">
      <c r="A108" vm="562">
        <f ca="1"/>
        <v>45814</v>
      </c>
      <c r="B108" vm="191">
        <f ca="1"/>
        <v>71.349999999999994</v>
      </c>
      <c r="C108" vm="563">
        <f ca="1"/>
        <v>71.084999999999994</v>
      </c>
      <c r="D108" vm="564">
        <f ca="1"/>
        <v>71.48</v>
      </c>
      <c r="E108" vm="565">
        <f ca="1"/>
        <v>70.944800000000001</v>
      </c>
      <c r="F108" vm="566">
        <f ca="1"/>
        <v>9524036</v>
      </c>
      <c r="G108" s="2">
        <f ca="1">AVERAGE(B102:B108)</f>
        <v>71.482857142857142</v>
      </c>
      <c r="H108" s="2">
        <f t="shared" ca="1" si="6"/>
        <v>71.173500000000004</v>
      </c>
      <c r="I108" s="2">
        <f t="shared" ca="1" si="5"/>
        <v>71.428999999999988</v>
      </c>
      <c r="J108">
        <f ca="1">D108-E108</f>
        <v>0.53520000000000323</v>
      </c>
      <c r="K108" s="2">
        <f t="shared" ca="1" si="7"/>
        <v>0.93926000000000154</v>
      </c>
      <c r="L108" s="3">
        <f ca="1">(B108/$B$2)-1</f>
        <v>0.15378395860284599</v>
      </c>
      <c r="M108">
        <f ca="1">_xlfn.STDEV.P(L95:L108)</f>
        <v>5.8402028259976471E-3</v>
      </c>
      <c r="N108">
        <f t="shared" ca="1" si="8"/>
        <v>14389986.9</v>
      </c>
    </row>
    <row r="109" spans="1:14" x14ac:dyDescent="0.25">
      <c r="A109" vm="567">
        <f ca="1"/>
        <v>45817</v>
      </c>
      <c r="B109" vm="521">
        <f ca="1"/>
        <v>71.77</v>
      </c>
      <c r="C109" vm="191">
        <f ca="1"/>
        <v>71.349999999999994</v>
      </c>
      <c r="D109" vm="568">
        <f ca="1"/>
        <v>71.83</v>
      </c>
      <c r="E109" vm="569">
        <f ca="1"/>
        <v>71.09</v>
      </c>
      <c r="F109" vm="570">
        <f ca="1"/>
        <v>12281339</v>
      </c>
      <c r="G109" s="2">
        <f ca="1">AVERAGE(B103:B109)</f>
        <v>71.522857142857134</v>
      </c>
      <c r="H109" s="2">
        <f t="shared" ca="1" si="6"/>
        <v>71.236000000000004</v>
      </c>
      <c r="I109" s="2">
        <f t="shared" ca="1" si="5"/>
        <v>71.44959999999999</v>
      </c>
      <c r="J109">
        <f ca="1">D109-E109</f>
        <v>0.73999999999999488</v>
      </c>
      <c r="K109" s="2">
        <f t="shared" ca="1" si="7"/>
        <v>0.94176000000000071</v>
      </c>
      <c r="L109" s="3">
        <f ca="1">(B109/$B$2)-1</f>
        <v>0.16057567917205673</v>
      </c>
      <c r="M109">
        <f ca="1">_xlfn.STDEV.P(L96:L109)</f>
        <v>5.6812363651898325E-3</v>
      </c>
      <c r="N109">
        <f t="shared" ca="1" si="8"/>
        <v>14442606.5</v>
      </c>
    </row>
    <row r="110" spans="1:14" x14ac:dyDescent="0.25">
      <c r="A110" vm="571">
        <f ca="1"/>
        <v>45818</v>
      </c>
      <c r="B110" vm="433">
        <f ca="1"/>
        <v>72.349999999999994</v>
      </c>
      <c r="C110" vm="399">
        <f ca="1"/>
        <v>71.900000000000006</v>
      </c>
      <c r="D110" vm="467">
        <f ca="1"/>
        <v>72.685000000000002</v>
      </c>
      <c r="E110" vm="572">
        <f ca="1"/>
        <v>71.760000000000005</v>
      </c>
      <c r="F110" vm="573">
        <f ca="1"/>
        <v>12264972</v>
      </c>
      <c r="G110" s="2">
        <f ca="1">AVERAGE(B104:B110)</f>
        <v>71.558571428571426</v>
      </c>
      <c r="H110" s="2">
        <f t="shared" ca="1" si="6"/>
        <v>71.376999999999981</v>
      </c>
      <c r="I110" s="2">
        <f t="shared" ca="1" si="5"/>
        <v>71.489199999999997</v>
      </c>
      <c r="J110">
        <f ca="1">D110-E110</f>
        <v>0.92499999999999716</v>
      </c>
      <c r="K110" s="2">
        <f t="shared" ca="1" si="7"/>
        <v>0.90651000000000082</v>
      </c>
      <c r="L110" s="3">
        <f ca="1">(B110/$B$2)-1</f>
        <v>0.16995472186287186</v>
      </c>
      <c r="M110">
        <f ca="1">_xlfn.STDEV.P(L97:L110)</f>
        <v>6.6017100338109126E-3</v>
      </c>
      <c r="N110">
        <f t="shared" ca="1" si="8"/>
        <v>13978904.449999999</v>
      </c>
    </row>
    <row r="111" spans="1:14" x14ac:dyDescent="0.25">
      <c r="A111" vm="574">
        <f ca="1"/>
        <v>45819</v>
      </c>
      <c r="B111" vm="233">
        <f ca="1"/>
        <v>72.069999999999993</v>
      </c>
      <c r="C111" vm="575">
        <f ca="1"/>
        <v>72.265000000000001</v>
      </c>
      <c r="D111" vm="228">
        <f ca="1"/>
        <v>72.36</v>
      </c>
      <c r="E111" vm="572">
        <f ca="1"/>
        <v>71.760000000000005</v>
      </c>
      <c r="F111" vm="576">
        <f ca="1"/>
        <v>12718510</v>
      </c>
      <c r="G111" s="2">
        <f ca="1">AVERAGE(B105:B111)</f>
        <v>71.568571428571417</v>
      </c>
      <c r="H111" s="2">
        <f t="shared" ca="1" si="6"/>
        <v>71.532499999999985</v>
      </c>
      <c r="I111" s="2">
        <f t="shared" ca="1" si="5"/>
        <v>71.498199999999983</v>
      </c>
      <c r="J111">
        <f ca="1">D111-E111</f>
        <v>0.59999999999999432</v>
      </c>
      <c r="K111" s="2">
        <f t="shared" ca="1" si="7"/>
        <v>0.89551000000000092</v>
      </c>
      <c r="L111" s="3">
        <f ca="1">(B111/$B$2)-1</f>
        <v>0.16542690815006456</v>
      </c>
      <c r="M111">
        <f ca="1">_xlfn.STDEV.P(L98:L111)</f>
        <v>6.8264112927955128E-3</v>
      </c>
      <c r="N111">
        <f t="shared" ca="1" si="8"/>
        <v>13895377.300000001</v>
      </c>
    </row>
    <row r="112" spans="1:14" x14ac:dyDescent="0.25">
      <c r="A112" vm="577">
        <f ca="1"/>
        <v>45820</v>
      </c>
      <c r="B112" vm="578">
        <f ca="1"/>
        <v>72.239999999999995</v>
      </c>
      <c r="C112" vm="579">
        <f ca="1"/>
        <v>72.25</v>
      </c>
      <c r="D112" vm="580">
        <f ca="1"/>
        <v>72.399900000000002</v>
      </c>
      <c r="E112" vm="193">
        <f ca="1"/>
        <v>71.599999999999994</v>
      </c>
      <c r="F112" vm="581">
        <f ca="1"/>
        <v>12806911</v>
      </c>
      <c r="G112" s="2">
        <f ca="1">AVERAGE(B106:B112)</f>
        <v>71.722857142857137</v>
      </c>
      <c r="H112" s="2">
        <f t="shared" ca="1" si="6"/>
        <v>71.686499999999995</v>
      </c>
      <c r="I112" s="2">
        <f t="shared" ca="1" si="5"/>
        <v>71.505599999999987</v>
      </c>
      <c r="J112">
        <f ca="1">D112-E112</f>
        <v>0.79990000000000805</v>
      </c>
      <c r="K112" s="2">
        <f t="shared" ca="1" si="7"/>
        <v>0.897505000000001</v>
      </c>
      <c r="L112" s="3">
        <f ca="1">(B112/$B$2)-1</f>
        <v>0.16817593790426888</v>
      </c>
      <c r="M112">
        <f ca="1">_xlfn.STDEV.P(L99:L112)</f>
        <v>6.9752765957599135E-3</v>
      </c>
      <c r="N112">
        <f t="shared" ca="1" si="8"/>
        <v>13721382.9</v>
      </c>
    </row>
    <row r="113" spans="1:14" x14ac:dyDescent="0.25">
      <c r="A113" vm="582">
        <f ca="1"/>
        <v>45821</v>
      </c>
      <c r="B113" vm="583">
        <f ca="1"/>
        <v>71.02</v>
      </c>
      <c r="C113" vm="521">
        <f ca="1"/>
        <v>71.77</v>
      </c>
      <c r="D113" vm="584">
        <f ca="1"/>
        <v>71.88</v>
      </c>
      <c r="E113" vm="205">
        <f ca="1"/>
        <v>70.73</v>
      </c>
      <c r="F113" vm="585">
        <f ca="1"/>
        <v>17467162</v>
      </c>
      <c r="G113" s="2">
        <f ca="1">AVERAGE(B107:B113)</f>
        <v>71.67285714285714</v>
      </c>
      <c r="H113" s="2">
        <f t="shared" ca="1" si="6"/>
        <v>71.656999999999982</v>
      </c>
      <c r="I113" s="2">
        <f t="shared" ca="1" si="5"/>
        <v>71.49939999999998</v>
      </c>
      <c r="J113">
        <f ca="1">D113-E113</f>
        <v>1.1499999999999915</v>
      </c>
      <c r="K113" s="2">
        <f t="shared" ca="1" si="7"/>
        <v>0.84850500000000006</v>
      </c>
      <c r="L113" s="3">
        <f ca="1">(B113/$B$2)-1</f>
        <v>0.1484476067270375</v>
      </c>
      <c r="M113">
        <f ca="1">_xlfn.STDEV.P(L100:L113)</f>
        <v>7.4745504747874827E-3</v>
      </c>
      <c r="N113">
        <f t="shared" ca="1" si="8"/>
        <v>13603886.199999999</v>
      </c>
    </row>
    <row r="114" spans="1:14" x14ac:dyDescent="0.25">
      <c r="A114" vm="586">
        <f ca="1"/>
        <v>45824</v>
      </c>
      <c r="B114" vm="476">
        <f ca="1"/>
        <v>70.52</v>
      </c>
      <c r="C114" vm="587">
        <f ca="1"/>
        <v>71.2</v>
      </c>
      <c r="D114" vm="330">
        <f ca="1"/>
        <v>71.62</v>
      </c>
      <c r="E114" vm="227">
        <f ca="1"/>
        <v>70.239999999999995</v>
      </c>
      <c r="F114" vm="588">
        <f ca="1"/>
        <v>15045880</v>
      </c>
      <c r="G114" s="2">
        <f ca="1">AVERAGE(B108:B114)</f>
        <v>71.617142857142852</v>
      </c>
      <c r="H114" s="2">
        <f t="shared" ca="1" si="6"/>
        <v>71.582999999999998</v>
      </c>
      <c r="I114" s="2">
        <f t="shared" ca="1" si="5"/>
        <v>71.446199999999976</v>
      </c>
      <c r="J114">
        <f ca="1">D114-E114</f>
        <v>1.3800000000000097</v>
      </c>
      <c r="K114" s="2">
        <f t="shared" ca="1" si="7"/>
        <v>0.8760050000000007</v>
      </c>
      <c r="L114" s="3">
        <f ca="1">(B114/$B$2)-1</f>
        <v>0.14036222509702445</v>
      </c>
      <c r="M114">
        <f ca="1">_xlfn.STDEV.P(L101:L114)</f>
        <v>8.7259457273884886E-3</v>
      </c>
      <c r="N114">
        <f t="shared" ca="1" si="8"/>
        <v>13434120.199999999</v>
      </c>
    </row>
    <row r="115" spans="1:14" x14ac:dyDescent="0.25">
      <c r="A115" vm="589">
        <f ca="1"/>
        <v>45825</v>
      </c>
      <c r="B115" vm="271">
        <f ca="1"/>
        <v>69.62</v>
      </c>
      <c r="C115" vm="590">
        <f ca="1"/>
        <v>70.38</v>
      </c>
      <c r="D115" vm="244">
        <f ca="1"/>
        <v>70.459999999999994</v>
      </c>
      <c r="E115" vm="591">
        <f ca="1"/>
        <v>69.58</v>
      </c>
      <c r="F115" vm="592">
        <f ca="1"/>
        <v>15437032</v>
      </c>
      <c r="G115" s="2">
        <f ca="1">AVERAGE(B109:B115)</f>
        <v>71.36999999999999</v>
      </c>
      <c r="H115" s="2">
        <f t="shared" ca="1" si="6"/>
        <v>71.467500000000001</v>
      </c>
      <c r="I115" s="2">
        <f t="shared" ref="I115:I146" ca="1" si="9">AVERAGE(B66:B115)</f>
        <v>71.439999999999984</v>
      </c>
      <c r="J115">
        <f ca="1">D115-E115</f>
        <v>0.87999999999999545</v>
      </c>
      <c r="K115" s="2">
        <f t="shared" ca="1" si="7"/>
        <v>0.89350500000000044</v>
      </c>
      <c r="L115" s="3">
        <f ca="1">(B115/$B$2)-1</f>
        <v>0.12580853816300142</v>
      </c>
      <c r="M115">
        <f ca="1">_xlfn.STDEV.P(L102:L115)</f>
        <v>1.1780836989443717E-2</v>
      </c>
      <c r="N115">
        <f t="shared" ca="1" si="8"/>
        <v>13541833.050000001</v>
      </c>
    </row>
    <row r="116" spans="1:14" x14ac:dyDescent="0.25">
      <c r="A116" vm="593">
        <f ca="1"/>
        <v>45826</v>
      </c>
      <c r="B116" vm="181">
        <f ca="1"/>
        <v>69.209999999999994</v>
      </c>
      <c r="C116" vm="594">
        <f ca="1"/>
        <v>70</v>
      </c>
      <c r="D116" vm="594">
        <f ca="1"/>
        <v>70</v>
      </c>
      <c r="E116" vm="299">
        <f ca="1"/>
        <v>69.09</v>
      </c>
      <c r="F116" vm="595">
        <f ca="1"/>
        <v>16227582</v>
      </c>
      <c r="G116" s="2">
        <f ca="1">AVERAGE(B110:B116)</f>
        <v>71.0042857142857</v>
      </c>
      <c r="H116" s="2">
        <f t="shared" ca="1" si="6"/>
        <v>71.343499999999992</v>
      </c>
      <c r="I116" s="2">
        <f t="shared" ca="1" si="9"/>
        <v>71.456799999999973</v>
      </c>
      <c r="J116">
        <f ca="1">D116-E116</f>
        <v>0.90999999999999659</v>
      </c>
      <c r="K116" s="2">
        <f t="shared" ca="1" si="7"/>
        <v>0.90400500000000084</v>
      </c>
      <c r="L116" s="3">
        <f ca="1">(B116/$B$2)-1</f>
        <v>0.11917852522639061</v>
      </c>
      <c r="M116">
        <f ca="1">_xlfn.STDEV.P(L103:L116)</f>
        <v>1.4951068699496901E-2</v>
      </c>
      <c r="N116">
        <f t="shared" ca="1" si="8"/>
        <v>13746322.25</v>
      </c>
    </row>
    <row r="117" spans="1:14" x14ac:dyDescent="0.25">
      <c r="A117" vm="596">
        <f ca="1"/>
        <v>45828</v>
      </c>
      <c r="B117" vm="597">
        <f ca="1"/>
        <v>68.84</v>
      </c>
      <c r="C117" vm="299">
        <f ca="1"/>
        <v>69.09</v>
      </c>
      <c r="D117" vm="598">
        <f ca="1"/>
        <v>69.555400000000006</v>
      </c>
      <c r="E117" vm="599">
        <f ca="1"/>
        <v>68.78</v>
      </c>
      <c r="F117" vm="600">
        <f ca="1"/>
        <v>40859425</v>
      </c>
      <c r="G117" s="2">
        <f ca="1">AVERAGE(B111:B117)</f>
        <v>70.502857142857138</v>
      </c>
      <c r="H117" s="2">
        <f t="shared" ref="H117:H148" ca="1" si="10">AVERAGE(B98:B117)</f>
        <v>71.192999999999998</v>
      </c>
      <c r="I117" s="2">
        <f t="shared" ca="1" si="9"/>
        <v>71.465199999999982</v>
      </c>
      <c r="J117">
        <f ca="1">D117-E117</f>
        <v>0.77540000000000475</v>
      </c>
      <c r="K117" s="2">
        <f t="shared" ca="1" si="7"/>
        <v>0.91802500000000076</v>
      </c>
      <c r="L117" s="3">
        <f ca="1">(B117/$B$2)-1</f>
        <v>0.11319534282018107</v>
      </c>
      <c r="M117">
        <f ca="1">_xlfn.STDEV.P(L104:L117)</f>
        <v>1.7492792551570466E-2</v>
      </c>
      <c r="N117">
        <f t="shared" ca="1" si="8"/>
        <v>15184572.300000001</v>
      </c>
    </row>
    <row r="118" spans="1:14" x14ac:dyDescent="0.25">
      <c r="A118" vm="601">
        <f ca="1"/>
        <v>45831</v>
      </c>
      <c r="B118" vm="268">
        <f ca="1"/>
        <v>69.739999999999995</v>
      </c>
      <c r="C118" vm="602">
        <f ca="1"/>
        <v>69.14</v>
      </c>
      <c r="D118" vm="298">
        <f ca="1"/>
        <v>69.81</v>
      </c>
      <c r="E118" vm="603">
        <f ca="1"/>
        <v>68.97</v>
      </c>
      <c r="F118" vm="604">
        <f ca="1"/>
        <v>21822773</v>
      </c>
      <c r="G118" s="2">
        <f ca="1">AVERAGE(B112:B118)</f>
        <v>70.169999999999987</v>
      </c>
      <c r="H118" s="2">
        <f t="shared" ca="1" si="10"/>
        <v>71.123000000000005</v>
      </c>
      <c r="I118" s="2">
        <f t="shared" ca="1" si="9"/>
        <v>71.460999999999984</v>
      </c>
      <c r="J118">
        <f ca="1">D118-E118</f>
        <v>0.84000000000000341</v>
      </c>
      <c r="K118" s="2">
        <f t="shared" ca="1" si="7"/>
        <v>0.90877500000000067</v>
      </c>
      <c r="L118" s="3">
        <f ca="1">(B118/$B$2)-1</f>
        <v>0.12774902975420432</v>
      </c>
      <c r="M118">
        <f ca="1">_xlfn.STDEV.P(L105:L118)</f>
        <v>1.768478998957523E-2</v>
      </c>
      <c r="N118">
        <f t="shared" ca="1" si="8"/>
        <v>15720621.050000001</v>
      </c>
    </row>
    <row r="119" spans="1:14" x14ac:dyDescent="0.25">
      <c r="A119" vm="605">
        <f ca="1"/>
        <v>45832</v>
      </c>
      <c r="B119" vm="606">
        <f ca="1"/>
        <v>70.209999999999994</v>
      </c>
      <c r="C119" vm="607">
        <f ca="1"/>
        <v>69.944999999999993</v>
      </c>
      <c r="D119" vm="318">
        <f ca="1"/>
        <v>70.349999999999994</v>
      </c>
      <c r="E119" vm="608">
        <f ca="1"/>
        <v>69.685000000000002</v>
      </c>
      <c r="F119" vm="609">
        <f ca="1"/>
        <v>15216084</v>
      </c>
      <c r="G119" s="2">
        <f ca="1">AVERAGE(B113:B119)</f>
        <v>69.88000000000001</v>
      </c>
      <c r="H119" s="2">
        <f t="shared" ca="1" si="10"/>
        <v>71.045000000000002</v>
      </c>
      <c r="I119" s="2">
        <f t="shared" ca="1" si="9"/>
        <v>71.449999999999989</v>
      </c>
      <c r="J119">
        <f ca="1">D119-E119</f>
        <v>0.66499999999999204</v>
      </c>
      <c r="K119" s="2">
        <f t="shared" ca="1" si="7"/>
        <v>0.87727500000000025</v>
      </c>
      <c r="L119" s="3">
        <f ca="1">(B119/$B$2)-1</f>
        <v>0.13534928848641647</v>
      </c>
      <c r="M119">
        <f ca="1">_xlfn.STDEV.P(L106:L119)</f>
        <v>1.7835014260252462E-2</v>
      </c>
      <c r="N119">
        <f t="shared" ca="1" si="8"/>
        <v>15840318</v>
      </c>
    </row>
    <row r="120" spans="1:14" x14ac:dyDescent="0.25">
      <c r="A120" vm="610">
        <f ca="1"/>
        <v>45833</v>
      </c>
      <c r="B120" vm="611">
        <f ca="1"/>
        <v>69.63</v>
      </c>
      <c r="C120" vm="612">
        <f ca="1"/>
        <v>69.924999999999997</v>
      </c>
      <c r="D120" vm="316">
        <f ca="1"/>
        <v>70.02</v>
      </c>
      <c r="E120" vm="613">
        <f ca="1"/>
        <v>69.430000000000007</v>
      </c>
      <c r="F120" vm="614">
        <f ca="1"/>
        <v>12540374</v>
      </c>
      <c r="G120" s="2">
        <f ca="1">AVERAGE(B114:B120)</f>
        <v>69.681428571428555</v>
      </c>
      <c r="H120" s="2">
        <f t="shared" ca="1" si="10"/>
        <v>70.9375</v>
      </c>
      <c r="I120" s="2">
        <f t="shared" ca="1" si="9"/>
        <v>71.413999999999987</v>
      </c>
      <c r="J120">
        <f ca="1">D120-E120</f>
        <v>0.5899999999999892</v>
      </c>
      <c r="K120" s="2">
        <f t="shared" ca="1" si="7"/>
        <v>0.87377499999999986</v>
      </c>
      <c r="L120" s="3">
        <f ca="1">(B120/$B$2)-1</f>
        <v>0.12597024579560134</v>
      </c>
      <c r="M120">
        <f ca="1">_xlfn.STDEV.P(L107:L120)</f>
        <v>1.8265849701893114E-2</v>
      </c>
      <c r="N120">
        <f t="shared" ca="1" si="8"/>
        <v>15934031.6</v>
      </c>
    </row>
    <row r="121" spans="1:14" x14ac:dyDescent="0.25">
      <c r="A121" vm="615">
        <f ca="1"/>
        <v>45834</v>
      </c>
      <c r="B121" vm="616">
        <f ca="1"/>
        <v>69.47</v>
      </c>
      <c r="C121" vm="495">
        <f ca="1"/>
        <v>69.7</v>
      </c>
      <c r="D121" vm="617">
        <f ca="1"/>
        <v>69.92</v>
      </c>
      <c r="E121" vm="618">
        <f ca="1"/>
        <v>69.144999999999996</v>
      </c>
      <c r="F121" vm="619">
        <f ca="1"/>
        <v>14454090</v>
      </c>
      <c r="G121" s="2">
        <f ca="1">AVERAGE(B115:B121)</f>
        <v>69.531428571428563</v>
      </c>
      <c r="H121" s="2">
        <f t="shared" ca="1" si="10"/>
        <v>70.853499999999997</v>
      </c>
      <c r="I121" s="2">
        <f t="shared" ca="1" si="9"/>
        <v>71.354399999999984</v>
      </c>
      <c r="J121">
        <f ca="1">D121-E121</f>
        <v>0.77500000000000568</v>
      </c>
      <c r="K121" s="2">
        <f t="shared" ca="1" si="7"/>
        <v>0.87002499999999972</v>
      </c>
      <c r="L121" s="3">
        <f ca="1">(B121/$B$2)-1</f>
        <v>0.12338292367399739</v>
      </c>
      <c r="M121">
        <f ca="1">_xlfn.STDEV.P(L108:L121)</f>
        <v>1.8896550718622347E-2</v>
      </c>
      <c r="N121">
        <f t="shared" ca="1" si="8"/>
        <v>16221191.300000001</v>
      </c>
    </row>
    <row r="122" spans="1:14" x14ac:dyDescent="0.25">
      <c r="A122" vm="620">
        <f ca="1"/>
        <v>45835</v>
      </c>
      <c r="B122" vm="199">
        <f ca="1"/>
        <v>70.33</v>
      </c>
      <c r="C122" vm="485">
        <f ca="1"/>
        <v>69.59</v>
      </c>
      <c r="D122" vm="223">
        <f ca="1"/>
        <v>70.56</v>
      </c>
      <c r="E122" vm="616">
        <f ca="1"/>
        <v>69.47</v>
      </c>
      <c r="F122" vm="621">
        <f ca="1"/>
        <v>23470691</v>
      </c>
      <c r="G122" s="2">
        <f ca="1">AVERAGE(B116:B122)</f>
        <v>69.632857142857148</v>
      </c>
      <c r="H122" s="2">
        <f t="shared" ca="1" si="10"/>
        <v>70.795500000000004</v>
      </c>
      <c r="I122" s="2">
        <f t="shared" ca="1" si="9"/>
        <v>71.323799999999977</v>
      </c>
      <c r="J122">
        <f ca="1">D122-E122</f>
        <v>1.0900000000000034</v>
      </c>
      <c r="K122" s="2">
        <f t="shared" ca="1" si="7"/>
        <v>0.86452499999999977</v>
      </c>
      <c r="L122" s="3">
        <f ca="1">(B122/$B$2)-1</f>
        <v>0.13728978007761961</v>
      </c>
      <c r="M122">
        <f ca="1">_xlfn.STDEV.P(L109:L122)</f>
        <v>1.8589431776212213E-2</v>
      </c>
      <c r="N122">
        <f t="shared" ca="1" si="8"/>
        <v>16880021.100000001</v>
      </c>
    </row>
    <row r="123" spans="1:14" x14ac:dyDescent="0.25">
      <c r="A123" vm="622">
        <f ca="1"/>
        <v>45838</v>
      </c>
      <c r="B123" vm="623">
        <f ca="1"/>
        <v>70.75</v>
      </c>
      <c r="C123" vm="624">
        <f ca="1"/>
        <v>70.125</v>
      </c>
      <c r="D123" vm="625">
        <f ca="1"/>
        <v>70.790000000000006</v>
      </c>
      <c r="E123" vm="626">
        <f ca="1"/>
        <v>70.09</v>
      </c>
      <c r="F123" vm="627">
        <f ca="1"/>
        <v>15428966</v>
      </c>
      <c r="G123" s="2">
        <f ca="1">AVERAGE(B117:B123)</f>
        <v>69.852857142857133</v>
      </c>
      <c r="H123" s="2">
        <f t="shared" ca="1" si="10"/>
        <v>70.728000000000009</v>
      </c>
      <c r="I123" s="2">
        <f t="shared" ca="1" si="9"/>
        <v>71.305199999999971</v>
      </c>
      <c r="J123">
        <f ca="1">D123-E123</f>
        <v>0.70000000000000284</v>
      </c>
      <c r="K123" s="2">
        <f t="shared" ca="1" si="7"/>
        <v>0.85627500000000012</v>
      </c>
      <c r="L123" s="3">
        <f ca="1">(B123/$B$2)-1</f>
        <v>0.14408150064683056</v>
      </c>
      <c r="M123">
        <f ca="1">_xlfn.STDEV.P(L110:L123)</f>
        <v>1.7755979551116342E-2</v>
      </c>
      <c r="N123">
        <f t="shared" ca="1" si="8"/>
        <v>16250492.050000001</v>
      </c>
    </row>
    <row r="124" spans="1:14" x14ac:dyDescent="0.25">
      <c r="A124" vm="628">
        <f ca="1"/>
        <v>45839</v>
      </c>
      <c r="B124" vm="457">
        <f ca="1"/>
        <v>71.67</v>
      </c>
      <c r="C124" vm="477">
        <f ca="1"/>
        <v>70.989999999999995</v>
      </c>
      <c r="D124" vm="382">
        <f ca="1"/>
        <v>72.45</v>
      </c>
      <c r="E124" vm="629">
        <f ca="1"/>
        <v>70.900000000000006</v>
      </c>
      <c r="F124" vm="630">
        <f ca="1"/>
        <v>21729276</v>
      </c>
      <c r="G124" s="2">
        <f ca="1">AVERAGE(B118:B124)</f>
        <v>70.257142857142853</v>
      </c>
      <c r="H124" s="2">
        <f t="shared" ca="1" si="10"/>
        <v>70.711499999999987</v>
      </c>
      <c r="I124" s="2">
        <f t="shared" ca="1" si="9"/>
        <v>71.278599999999983</v>
      </c>
      <c r="J124">
        <f ca="1">D124-E124</f>
        <v>1.5499999999999972</v>
      </c>
      <c r="K124" s="2">
        <f t="shared" ca="1" si="7"/>
        <v>0.89977499999999966</v>
      </c>
      <c r="L124" s="3">
        <f ca="1">(B124/$B$2)-1</f>
        <v>0.15895860284605434</v>
      </c>
      <c r="M124">
        <f ca="1">_xlfn.STDEV.P(L111:L124)</f>
        <v>1.6567621432614612E-2</v>
      </c>
      <c r="N124">
        <f t="shared" ca="1" si="8"/>
        <v>16826819</v>
      </c>
    </row>
    <row r="125" spans="1:14" x14ac:dyDescent="0.25">
      <c r="A125" vm="631">
        <f ca="1"/>
        <v>45840</v>
      </c>
      <c r="B125" vm="557">
        <f ca="1"/>
        <v>70.91</v>
      </c>
      <c r="C125" vm="507">
        <f ca="1"/>
        <v>71.69</v>
      </c>
      <c r="D125" vm="632">
        <f ca="1"/>
        <v>71.825000000000003</v>
      </c>
      <c r="E125" vm="633">
        <f ca="1"/>
        <v>70.734999999999999</v>
      </c>
      <c r="F125" vm="634">
        <f ca="1"/>
        <v>13050239</v>
      </c>
      <c r="G125" s="2">
        <f ca="1">AVERAGE(B119:B125)</f>
        <v>70.424285714285716</v>
      </c>
      <c r="H125" s="2">
        <f t="shared" ca="1" si="10"/>
        <v>70.699000000000012</v>
      </c>
      <c r="I125" s="2">
        <f t="shared" ca="1" si="9"/>
        <v>71.241399999999985</v>
      </c>
      <c r="J125">
        <f ca="1">D125-E125</f>
        <v>1.0900000000000034</v>
      </c>
      <c r="K125" s="2">
        <f t="shared" ca="1" si="7"/>
        <v>0.88902499999999951</v>
      </c>
      <c r="L125" s="3">
        <f ca="1">(B125/$B$2)-1</f>
        <v>0.14666882276843451</v>
      </c>
      <c r="M125">
        <f ca="1">_xlfn.STDEV.P(L112:L125)</f>
        <v>1.4986359444079682E-2</v>
      </c>
      <c r="N125">
        <f t="shared" ca="1" si="8"/>
        <v>16472342.6</v>
      </c>
    </row>
    <row r="126" spans="1:14" x14ac:dyDescent="0.25">
      <c r="A126" vm="635">
        <f ca="1"/>
        <v>45841</v>
      </c>
      <c r="B126" vm="191">
        <f ca="1"/>
        <v>71.349999999999994</v>
      </c>
      <c r="C126" vm="260">
        <f ca="1"/>
        <v>71.040000000000006</v>
      </c>
      <c r="D126" vm="636">
        <f ca="1"/>
        <v>71.394999999999996</v>
      </c>
      <c r="E126" vm="637">
        <f ca="1"/>
        <v>70.45</v>
      </c>
      <c r="F126" vm="638">
        <f ca="1"/>
        <v>9440457</v>
      </c>
      <c r="G126" s="2">
        <f ca="1">AVERAGE(B120:B126)</f>
        <v>70.587142857142865</v>
      </c>
      <c r="H126" s="2">
        <f t="shared" ca="1" si="10"/>
        <v>70.698000000000008</v>
      </c>
      <c r="I126" s="2">
        <f t="shared" ca="1" si="9"/>
        <v>71.190399999999983</v>
      </c>
      <c r="J126">
        <f ca="1">D126-E126</f>
        <v>0.94499999999999318</v>
      </c>
      <c r="K126" s="2">
        <f t="shared" ca="1" si="7"/>
        <v>0.8780249999999995</v>
      </c>
      <c r="L126" s="3">
        <f ca="1">(B126/$B$2)-1</f>
        <v>0.15378395860284599</v>
      </c>
      <c r="M126">
        <f ca="1">_xlfn.STDEV.P(L113:L126)</f>
        <v>1.3180852397214938E-2</v>
      </c>
      <c r="N126">
        <f t="shared" ca="1" si="8"/>
        <v>16266070.9</v>
      </c>
    </row>
    <row r="127" spans="1:14" x14ac:dyDescent="0.25">
      <c r="A127" vm="639">
        <f ca="1"/>
        <v>45845</v>
      </c>
      <c r="B127" vm="459">
        <f ca="1"/>
        <v>71.010000000000005</v>
      </c>
      <c r="C127" vm="551">
        <f ca="1"/>
        <v>71.37</v>
      </c>
      <c r="D127" vm="551">
        <f ca="1"/>
        <v>71.37</v>
      </c>
      <c r="E127" vm="208">
        <f ca="1"/>
        <v>70.8</v>
      </c>
      <c r="F127" vm="640">
        <f ca="1"/>
        <v>16984675</v>
      </c>
      <c r="G127" s="2">
        <f ca="1">AVERAGE(B121:B127)</f>
        <v>70.784285714285716</v>
      </c>
      <c r="H127" s="2">
        <f t="shared" ca="1" si="10"/>
        <v>70.703000000000003</v>
      </c>
      <c r="I127" s="2">
        <f t="shared" ca="1" si="9"/>
        <v>71.144599999999997</v>
      </c>
      <c r="J127">
        <f ca="1">D127-E127</f>
        <v>0.57000000000000739</v>
      </c>
      <c r="K127" s="2">
        <f t="shared" ca="1" si="7"/>
        <v>0.87552499999999966</v>
      </c>
      <c r="L127" s="3">
        <f ca="1">(B127/$B$2)-1</f>
        <v>0.14828589909443735</v>
      </c>
      <c r="M127">
        <f ca="1">_xlfn.STDEV.P(L114:L127)</f>
        <v>1.3169769332687991E-2</v>
      </c>
      <c r="N127">
        <f t="shared" ca="1" si="8"/>
        <v>16438523.699999999</v>
      </c>
    </row>
    <row r="128" spans="1:14" x14ac:dyDescent="0.25">
      <c r="A128" vm="641">
        <f ca="1"/>
        <v>45846</v>
      </c>
      <c r="B128" vm="227">
        <f ca="1"/>
        <v>70.239999999999995</v>
      </c>
      <c r="C128" vm="554">
        <f ca="1"/>
        <v>70.680000000000007</v>
      </c>
      <c r="D128" vm="554">
        <f ca="1"/>
        <v>70.680000000000007</v>
      </c>
      <c r="E128" vm="235">
        <f ca="1"/>
        <v>69.88</v>
      </c>
      <c r="F128" vm="642">
        <f ca="1"/>
        <v>17115521</v>
      </c>
      <c r="G128" s="2">
        <f ca="1">AVERAGE(B122:B128)</f>
        <v>70.894285714285715</v>
      </c>
      <c r="H128" s="2">
        <f t="shared" ca="1" si="10"/>
        <v>70.647500000000008</v>
      </c>
      <c r="I128" s="2">
        <f t="shared" ca="1" si="9"/>
        <v>71.098999999999975</v>
      </c>
      <c r="J128">
        <f ca="1">D128-E128</f>
        <v>0.80000000000001137</v>
      </c>
      <c r="K128" s="2">
        <f t="shared" ca="1" si="7"/>
        <v>0.88876500000000003</v>
      </c>
      <c r="L128" s="3">
        <f ca="1">(B128/$B$2)-1</f>
        <v>0.13583441138421715</v>
      </c>
      <c r="M128">
        <f ca="1">_xlfn.STDEV.P(L115:L128)</f>
        <v>1.3107217489499794E-2</v>
      </c>
      <c r="N128">
        <f t="shared" ca="1" si="8"/>
        <v>16818097.949999999</v>
      </c>
    </row>
    <row r="129" spans="1:14" x14ac:dyDescent="0.25">
      <c r="A129" vm="643">
        <f ca="1"/>
        <v>45847</v>
      </c>
      <c r="B129" vm="644">
        <f ca="1"/>
        <v>69.48</v>
      </c>
      <c r="C129" vm="645">
        <f ca="1"/>
        <v>70.16</v>
      </c>
      <c r="D129" vm="272">
        <f ca="1"/>
        <v>70.25</v>
      </c>
      <c r="E129" vm="603">
        <f ca="1"/>
        <v>68.97</v>
      </c>
      <c r="F129" vm="646">
        <f ca="1"/>
        <v>33704119</v>
      </c>
      <c r="G129" s="2">
        <f ca="1">AVERAGE(B123:B129)</f>
        <v>70.772857142857148</v>
      </c>
      <c r="H129" s="2">
        <f t="shared" ca="1" si="10"/>
        <v>70.533000000000001</v>
      </c>
      <c r="I129" s="2">
        <f t="shared" ca="1" si="9"/>
        <v>71.050399999999996</v>
      </c>
      <c r="J129">
        <f ca="1">D129-E129</f>
        <v>1.2800000000000011</v>
      </c>
      <c r="K129" s="2">
        <f t="shared" ca="1" si="7"/>
        <v>0.91576500000000038</v>
      </c>
      <c r="L129" s="3">
        <f ca="1">(B129/$B$2)-1</f>
        <v>0.12354463130659776</v>
      </c>
      <c r="M129">
        <f ca="1">_xlfn.STDEV.P(L116:L129)</f>
        <v>1.3237811705995129E-2</v>
      </c>
      <c r="N129">
        <f t="shared" ca="1" si="8"/>
        <v>17889236.949999999</v>
      </c>
    </row>
    <row r="130" spans="1:14" x14ac:dyDescent="0.25">
      <c r="A130" vm="647">
        <f ca="1"/>
        <v>45848</v>
      </c>
      <c r="B130" vm="648">
        <f ca="1"/>
        <v>69.77</v>
      </c>
      <c r="C130" vm="649">
        <f ca="1"/>
        <v>69.290000000000006</v>
      </c>
      <c r="D130" vm="650">
        <f ca="1"/>
        <v>69.844999999999999</v>
      </c>
      <c r="E130" vm="276">
        <f ca="1"/>
        <v>69.16</v>
      </c>
      <c r="F130" vm="651">
        <f ca="1"/>
        <v>14615046</v>
      </c>
      <c r="G130" s="2">
        <f ca="1">AVERAGE(B124:B130)</f>
        <v>70.632857142857148</v>
      </c>
      <c r="H130" s="2">
        <f t="shared" ca="1" si="10"/>
        <v>70.403999999999996</v>
      </c>
      <c r="I130" s="2">
        <f t="shared" ca="1" si="9"/>
        <v>71.009999999999991</v>
      </c>
      <c r="J130">
        <f ca="1">D130-E130</f>
        <v>0.68500000000000227</v>
      </c>
      <c r="K130" s="2">
        <f t="shared" ca="1" si="7"/>
        <v>0.9037650000000006</v>
      </c>
      <c r="L130" s="3">
        <f ca="1">(B130/$B$2)-1</f>
        <v>0.128234152652005</v>
      </c>
      <c r="M130">
        <f ca="1">_xlfn.STDEV.P(L117:L130)</f>
        <v>1.2645499731982963E-2</v>
      </c>
      <c r="N130">
        <f t="shared" ca="1" si="8"/>
        <v>18006740.649999999</v>
      </c>
    </row>
    <row r="131" spans="1:14" x14ac:dyDescent="0.25">
      <c r="A131" vm="652">
        <f ca="1"/>
        <v>45849</v>
      </c>
      <c r="B131" vm="653">
        <f ca="1"/>
        <v>69.87</v>
      </c>
      <c r="C131" vm="654">
        <f ca="1"/>
        <v>69.564999999999998</v>
      </c>
      <c r="D131" vm="655">
        <f ca="1"/>
        <v>70.155000000000001</v>
      </c>
      <c r="E131" vm="656">
        <f ca="1"/>
        <v>69.25</v>
      </c>
      <c r="F131" vm="657">
        <f ca="1"/>
        <v>12916670</v>
      </c>
      <c r="G131" s="2">
        <f ca="1">AVERAGE(B125:B131)</f>
        <v>70.375714285714281</v>
      </c>
      <c r="H131" s="2">
        <f t="shared" ca="1" si="10"/>
        <v>70.294000000000011</v>
      </c>
      <c r="I131" s="2">
        <f t="shared" ca="1" si="9"/>
        <v>70.960399999999993</v>
      </c>
      <c r="J131">
        <f ca="1">D131-E131</f>
        <v>0.90500000000000114</v>
      </c>
      <c r="K131" s="2">
        <f t="shared" ca="1" si="7"/>
        <v>0.91901500000000103</v>
      </c>
      <c r="L131" s="3">
        <f ca="1">(B131/$B$2)-1</f>
        <v>0.12985122897800783</v>
      </c>
      <c r="M131">
        <f ca="1">_xlfn.STDEV.P(L118:L131)</f>
        <v>1.1150392844044043E-2</v>
      </c>
      <c r="N131">
        <f t="shared" ca="1" si="8"/>
        <v>18016648.649999999</v>
      </c>
    </row>
    <row r="132" spans="1:14" x14ac:dyDescent="0.25">
      <c r="A132" vm="658">
        <f ca="1"/>
        <v>45852</v>
      </c>
      <c r="B132" vm="616">
        <f ca="1"/>
        <v>69.47</v>
      </c>
      <c r="C132" vm="659">
        <f ca="1"/>
        <v>69.8</v>
      </c>
      <c r="D132" vm="238">
        <f ca="1"/>
        <v>70.08</v>
      </c>
      <c r="E132" vm="660">
        <f ca="1"/>
        <v>69.271900000000002</v>
      </c>
      <c r="F132" vm="661">
        <f ca="1"/>
        <v>13983246</v>
      </c>
      <c r="G132" s="2">
        <f ca="1">AVERAGE(B126:B132)</f>
        <v>70.17</v>
      </c>
      <c r="H132" s="2">
        <f t="shared" ca="1" si="10"/>
        <v>70.155499999999989</v>
      </c>
      <c r="I132" s="2">
        <f t="shared" ca="1" si="9"/>
        <v>70.89879999999998</v>
      </c>
      <c r="J132">
        <f ca="1">D132-E132</f>
        <v>0.80809999999999604</v>
      </c>
      <c r="K132" s="2">
        <f t="shared" ca="1" si="7"/>
        <v>0.91942500000000038</v>
      </c>
      <c r="L132" s="3">
        <f ca="1">(B132/$B$2)-1</f>
        <v>0.12338292367399739</v>
      </c>
      <c r="M132">
        <f ca="1">_xlfn.STDEV.P(L119:L132)</f>
        <v>1.1463402566137555E-2</v>
      </c>
      <c r="N132">
        <f t="shared" ca="1" si="8"/>
        <v>18075465.399999999</v>
      </c>
    </row>
    <row r="133" spans="1:14" x14ac:dyDescent="0.25">
      <c r="A133" vm="662">
        <f ca="1"/>
        <v>45853</v>
      </c>
      <c r="B133" vm="663">
        <f ca="1"/>
        <v>69.36</v>
      </c>
      <c r="C133" vm="664">
        <f ca="1"/>
        <v>69.510000000000005</v>
      </c>
      <c r="D133" vm="665">
        <f ca="1"/>
        <v>69.55</v>
      </c>
      <c r="E133" vm="666">
        <f ca="1"/>
        <v>69.150000000000006</v>
      </c>
      <c r="F133" vm="667">
        <f ca="1"/>
        <v>12639808</v>
      </c>
      <c r="G133" s="2">
        <f ca="1">AVERAGE(B127:B133)</f>
        <v>69.885714285714286</v>
      </c>
      <c r="H133" s="2">
        <f t="shared" ca="1" si="10"/>
        <v>70.072499999999991</v>
      </c>
      <c r="I133" s="2">
        <f t="shared" ca="1" si="9"/>
        <v>70.860199999999992</v>
      </c>
      <c r="J133">
        <f ca="1">D133-E133</f>
        <v>0.39999999999999147</v>
      </c>
      <c r="K133" s="2">
        <f t="shared" ca="1" si="7"/>
        <v>0.8819250000000004</v>
      </c>
      <c r="L133" s="3">
        <f ca="1">(B133/$B$2)-1</f>
        <v>0.12160413971539441</v>
      </c>
      <c r="M133">
        <f ca="1">_xlfn.STDEV.P(L120:L133)</f>
        <v>1.2112292935563032E-2</v>
      </c>
      <c r="N133">
        <f t="shared" ca="1" si="8"/>
        <v>17834097.699999999</v>
      </c>
    </row>
    <row r="134" spans="1:14" x14ac:dyDescent="0.25">
      <c r="A134" vm="668">
        <f ca="1"/>
        <v>45854</v>
      </c>
      <c r="B134" vm="669">
        <f ca="1"/>
        <v>69.27</v>
      </c>
      <c r="C134" vm="670">
        <f ca="1"/>
        <v>69.349999999999994</v>
      </c>
      <c r="D134" vm="162">
        <f ca="1"/>
        <v>69.5</v>
      </c>
      <c r="E134" vm="671">
        <f ca="1"/>
        <v>68.790000000000006</v>
      </c>
      <c r="F134" vm="672">
        <f ca="1"/>
        <v>13178292</v>
      </c>
      <c r="G134" s="2">
        <f ca="1">AVERAGE(B128:B134)</f>
        <v>69.637142857142862</v>
      </c>
      <c r="H134" s="2">
        <f t="shared" ca="1" si="10"/>
        <v>70.009999999999991</v>
      </c>
      <c r="I134" s="2">
        <f t="shared" ca="1" si="9"/>
        <v>70.812599999999989</v>
      </c>
      <c r="J134">
        <f ca="1">D134-E134</f>
        <v>0.70999999999999375</v>
      </c>
      <c r="K134" s="2">
        <f t="shared" ca="1" si="7"/>
        <v>0.84842499999999954</v>
      </c>
      <c r="L134" s="3">
        <f ca="1">(B134/$B$2)-1</f>
        <v>0.12014877102199217</v>
      </c>
      <c r="M134">
        <f ca="1">_xlfn.STDEV.P(L121:L134)</f>
        <v>1.2534385327309388E-2</v>
      </c>
      <c r="N134">
        <f t="shared" ca="1" si="8"/>
        <v>17740718.300000001</v>
      </c>
    </row>
    <row r="135" spans="1:14" x14ac:dyDescent="0.25">
      <c r="A135" vm="673">
        <f ca="1"/>
        <v>45855</v>
      </c>
      <c r="B135" vm="196">
        <f ca="1"/>
        <v>70.59</v>
      </c>
      <c r="C135" vm="298">
        <f ca="1"/>
        <v>69.81</v>
      </c>
      <c r="D135" vm="524">
        <f ca="1"/>
        <v>70.685000000000002</v>
      </c>
      <c r="E135" vm="664">
        <f ca="1"/>
        <v>69.510000000000005</v>
      </c>
      <c r="F135" vm="674">
        <f ca="1"/>
        <v>20464657</v>
      </c>
      <c r="G135" s="2">
        <f ca="1">AVERAGE(B129:B135)</f>
        <v>69.687142857142859</v>
      </c>
      <c r="H135" s="2">
        <f t="shared" ca="1" si="10"/>
        <v>70.058499999999995</v>
      </c>
      <c r="I135" s="2">
        <f t="shared" ca="1" si="9"/>
        <v>70.790399999999991</v>
      </c>
      <c r="J135">
        <f ca="1">D135-E135</f>
        <v>1.1749999999999972</v>
      </c>
      <c r="K135" s="2">
        <f t="shared" ca="1" si="7"/>
        <v>0.86317499999999969</v>
      </c>
      <c r="L135" s="3">
        <f ca="1">(B135/$B$2)-1</f>
        <v>0.14149417852522639</v>
      </c>
      <c r="M135">
        <f ca="1">_xlfn.STDEV.P(L122:L135)</f>
        <v>1.2160442277363841E-2</v>
      </c>
      <c r="N135">
        <f t="shared" ca="1" si="8"/>
        <v>17992099.550000001</v>
      </c>
    </row>
    <row r="136" spans="1:14" x14ac:dyDescent="0.25">
      <c r="A136" vm="675">
        <f ca="1"/>
        <v>45856</v>
      </c>
      <c r="B136" vm="676">
        <f ca="1"/>
        <v>69.849999999999994</v>
      </c>
      <c r="C136" vm="677">
        <f ca="1"/>
        <v>70.444999999999993</v>
      </c>
      <c r="D136" vm="678">
        <f ca="1"/>
        <v>70.7</v>
      </c>
      <c r="E136" vm="679">
        <f ca="1"/>
        <v>69.834999999999994</v>
      </c>
      <c r="F136" vm="680">
        <f ca="1"/>
        <v>14927950</v>
      </c>
      <c r="G136" s="2">
        <f ca="1">AVERAGE(B130:B136)</f>
        <v>69.739999999999995</v>
      </c>
      <c r="H136" s="2">
        <f t="shared" ca="1" si="10"/>
        <v>70.090499999999992</v>
      </c>
      <c r="I136" s="2">
        <f t="shared" ca="1" si="9"/>
        <v>70.752999999999986</v>
      </c>
      <c r="J136">
        <f ca="1">D136-E136</f>
        <v>0.86500000000000909</v>
      </c>
      <c r="K136" s="2">
        <f t="shared" ca="1" si="7"/>
        <v>0.86092500000000027</v>
      </c>
      <c r="L136" s="3">
        <f ca="1">(B136/$B$2)-1</f>
        <v>0.12952781371280708</v>
      </c>
      <c r="M136">
        <f ca="1">_xlfn.STDEV.P(L123:L136)</f>
        <v>1.2295038575882083E-2</v>
      </c>
      <c r="N136">
        <f t="shared" ca="1" si="8"/>
        <v>17927117.949999999</v>
      </c>
    </row>
    <row r="137" spans="1:14" x14ac:dyDescent="0.25">
      <c r="A137" vm="681">
        <f ca="1"/>
        <v>45859</v>
      </c>
      <c r="B137" vm="180">
        <f ca="1"/>
        <v>70.069999999999993</v>
      </c>
      <c r="C137" vm="682">
        <f ca="1"/>
        <v>70.194999999999993</v>
      </c>
      <c r="D137" vm="683">
        <f ca="1"/>
        <v>70.62</v>
      </c>
      <c r="E137" vm="350">
        <f ca="1"/>
        <v>69.930000000000007</v>
      </c>
      <c r="F137" vm="684">
        <f ca="1"/>
        <v>17811719</v>
      </c>
      <c r="G137" s="2">
        <f ca="1">AVERAGE(B131:B137)</f>
        <v>69.782857142857139</v>
      </c>
      <c r="H137" s="2">
        <f t="shared" ca="1" si="10"/>
        <v>70.151999999999973</v>
      </c>
      <c r="I137" s="2">
        <f t="shared" ca="1" si="9"/>
        <v>70.706399999999988</v>
      </c>
      <c r="J137">
        <f ca="1">D137-E137</f>
        <v>0.68999999999999773</v>
      </c>
      <c r="K137" s="2">
        <f t="shared" ca="1" si="7"/>
        <v>0.85665499999999994</v>
      </c>
      <c r="L137" s="3">
        <f ca="1">(B137/$B$2)-1</f>
        <v>0.13308538163001282</v>
      </c>
      <c r="M137">
        <f ca="1">_xlfn.STDEV.P(L124:L137)</f>
        <v>1.2109913494168493E-2</v>
      </c>
      <c r="N137">
        <f t="shared" ca="1" si="8"/>
        <v>16774732.65</v>
      </c>
    </row>
    <row r="138" spans="1:14" x14ac:dyDescent="0.25">
      <c r="A138" vm="685">
        <f ca="1"/>
        <v>45860</v>
      </c>
      <c r="B138" vm="686">
        <f ca="1"/>
        <v>69.66</v>
      </c>
      <c r="C138" vm="247">
        <f ca="1"/>
        <v>69.45</v>
      </c>
      <c r="D138" vm="687">
        <f ca="1"/>
        <v>70.259200000000007</v>
      </c>
      <c r="E138" vm="688">
        <f ca="1"/>
        <v>68.69</v>
      </c>
      <c r="F138" vm="689">
        <f ca="1"/>
        <v>22339884</v>
      </c>
      <c r="G138" s="2">
        <f ca="1">AVERAGE(B132:B138)</f>
        <v>69.752857142857138</v>
      </c>
      <c r="H138" s="2">
        <f t="shared" ca="1" si="10"/>
        <v>70.147999999999996</v>
      </c>
      <c r="I138" s="2">
        <f t="shared" ca="1" si="9"/>
        <v>70.676199999999994</v>
      </c>
      <c r="J138">
        <f ca="1">D138-E138</f>
        <v>1.5692000000000093</v>
      </c>
      <c r="K138" s="2">
        <f t="shared" ca="1" si="7"/>
        <v>0.89311500000000021</v>
      </c>
      <c r="L138" s="3">
        <f ca="1">(B138/$B$2)-1</f>
        <v>0.12645536869340224</v>
      </c>
      <c r="M138">
        <f ca="1">_xlfn.STDEV.P(L125:L138)</f>
        <v>1.0340931593098221E-2</v>
      </c>
      <c r="N138">
        <f t="shared" ca="1" si="8"/>
        <v>16800588.199999999</v>
      </c>
    </row>
    <row r="139" spans="1:14" x14ac:dyDescent="0.25">
      <c r="A139" vm="690">
        <f ca="1"/>
        <v>45861</v>
      </c>
      <c r="B139" vm="276">
        <f ca="1"/>
        <v>69.16</v>
      </c>
      <c r="C139" vm="686">
        <f ca="1"/>
        <v>69.66</v>
      </c>
      <c r="D139" vm="268">
        <f ca="1"/>
        <v>69.739999999999995</v>
      </c>
      <c r="E139" vm="313">
        <f ca="1"/>
        <v>68.599999999999994</v>
      </c>
      <c r="F139" vm="691">
        <f ca="1"/>
        <v>21029993</v>
      </c>
      <c r="G139" s="2">
        <f ca="1">AVERAGE(B133:B139)</f>
        <v>69.708571428571418</v>
      </c>
      <c r="H139" s="2">
        <f t="shared" ca="1" si="10"/>
        <v>70.095500000000001</v>
      </c>
      <c r="I139" s="2">
        <f t="shared" ca="1" si="9"/>
        <v>70.648999999999987</v>
      </c>
      <c r="J139">
        <f ca="1">D139-E139</f>
        <v>1.1400000000000006</v>
      </c>
      <c r="K139" s="2">
        <f t="shared" ca="1" si="7"/>
        <v>0.91686500000000071</v>
      </c>
      <c r="L139" s="3">
        <f ca="1">(B139/$B$2)-1</f>
        <v>0.11836998706338919</v>
      </c>
      <c r="M139">
        <f ca="1">_xlfn.STDEV.P(L126:L139)</f>
        <v>1.0235405979093391E-2</v>
      </c>
      <c r="N139">
        <f t="shared" ca="1" si="8"/>
        <v>17091283.649999999</v>
      </c>
    </row>
    <row r="140" spans="1:14" x14ac:dyDescent="0.25">
      <c r="A140" vm="692">
        <f ca="1"/>
        <v>45862</v>
      </c>
      <c r="B140" vm="693">
        <f ca="1"/>
        <v>69.099999999999994</v>
      </c>
      <c r="C140" vm="694">
        <f ca="1"/>
        <v>69.254999999999995</v>
      </c>
      <c r="D140" vm="665">
        <f ca="1"/>
        <v>69.55</v>
      </c>
      <c r="E140" vm="695">
        <f ca="1"/>
        <v>68.989999999999995</v>
      </c>
      <c r="F140" vm="696">
        <f ca="1"/>
        <v>12511367</v>
      </c>
      <c r="G140" s="2">
        <f ca="1">AVERAGE(B134:B140)</f>
        <v>69.671428571428564</v>
      </c>
      <c r="H140" s="2">
        <f t="shared" ca="1" si="10"/>
        <v>70.068999999999988</v>
      </c>
      <c r="I140" s="2">
        <f t="shared" ca="1" si="9"/>
        <v>70.640399999999985</v>
      </c>
      <c r="J140">
        <f ca="1">D140-E140</f>
        <v>0.56000000000000227</v>
      </c>
      <c r="K140" s="2">
        <f t="shared" ca="1" si="7"/>
        <v>0.91536500000000132</v>
      </c>
      <c r="L140" s="3">
        <f ca="1">(B140/$B$2)-1</f>
        <v>0.11739974126778763</v>
      </c>
      <c r="M140">
        <f ca="1">_xlfn.STDEV.P(L127:L140)</f>
        <v>8.6020160127086298E-3</v>
      </c>
      <c r="N140">
        <f t="shared" ca="1" si="8"/>
        <v>17089833.300000001</v>
      </c>
    </row>
    <row r="141" spans="1:14" x14ac:dyDescent="0.25">
      <c r="A141" vm="697">
        <f ca="1"/>
        <v>45863</v>
      </c>
      <c r="B141" vm="183">
        <f ca="1"/>
        <v>69.17</v>
      </c>
      <c r="C141" vm="698">
        <f ca="1"/>
        <v>69.13</v>
      </c>
      <c r="D141" vm="699">
        <f ca="1"/>
        <v>69.23</v>
      </c>
      <c r="E141" vm="700">
        <f ca="1"/>
        <v>68.75</v>
      </c>
      <c r="F141" vm="701">
        <f ca="1"/>
        <v>12574823</v>
      </c>
      <c r="G141" s="2">
        <f ca="1">AVERAGE(B135:B141)</f>
        <v>69.657142857142858</v>
      </c>
      <c r="H141" s="2">
        <f t="shared" ca="1" si="10"/>
        <v>70.054000000000002</v>
      </c>
      <c r="I141" s="2">
        <f t="shared" ca="1" si="9"/>
        <v>70.644599999999983</v>
      </c>
      <c r="J141">
        <f ca="1">D141-E141</f>
        <v>0.48000000000000398</v>
      </c>
      <c r="K141" s="2">
        <f t="shared" ca="1" si="7"/>
        <v>0.90061500000000128</v>
      </c>
      <c r="L141" s="3">
        <f ca="1">(B141/$B$2)-1</f>
        <v>0.11853169469598956</v>
      </c>
      <c r="M141">
        <f ca="1">_xlfn.STDEV.P(L128:L141)</f>
        <v>6.9333680878262572E-3</v>
      </c>
      <c r="N141">
        <f t="shared" ca="1" si="8"/>
        <v>16995869.949999999</v>
      </c>
    </row>
    <row r="142" spans="1:14" x14ac:dyDescent="0.25">
      <c r="A142" vm="702">
        <f ca="1"/>
        <v>45866</v>
      </c>
      <c r="B142" vm="703">
        <f ca="1"/>
        <v>68.09</v>
      </c>
      <c r="C142" vm="704">
        <f ca="1"/>
        <v>68.739999999999995</v>
      </c>
      <c r="D142" vm="319">
        <f ca="1"/>
        <v>68.900000000000006</v>
      </c>
      <c r="E142" vm="705">
        <f ca="1"/>
        <v>68.06</v>
      </c>
      <c r="F142" vm="706">
        <f ca="1"/>
        <v>13668798</v>
      </c>
      <c r="G142" s="2">
        <f ca="1">AVERAGE(B136:B142)</f>
        <v>69.3</v>
      </c>
      <c r="H142" s="2">
        <f t="shared" ca="1" si="10"/>
        <v>69.942000000000007</v>
      </c>
      <c r="I142" s="2">
        <f t="shared" ca="1" si="9"/>
        <v>70.623199999999983</v>
      </c>
      <c r="J142">
        <f ca="1">D142-E142</f>
        <v>0.84000000000000341</v>
      </c>
      <c r="K142" s="2">
        <f t="shared" ca="1" si="7"/>
        <v>0.88811500000000121</v>
      </c>
      <c r="L142" s="3">
        <f ca="1">(B142/$B$2)-1</f>
        <v>0.10106727037516161</v>
      </c>
      <c r="M142">
        <f ca="1">_xlfn.STDEV.P(L129:L142)</f>
        <v>8.9793213204577751E-3</v>
      </c>
      <c r="N142">
        <f t="shared" ca="1" si="8"/>
        <v>16505775.300000001</v>
      </c>
    </row>
    <row r="143" spans="1:14" x14ac:dyDescent="0.25">
      <c r="A143" vm="707">
        <f ca="1"/>
        <v>45867</v>
      </c>
      <c r="B143" vm="288">
        <f ca="1"/>
        <v>69.38</v>
      </c>
      <c r="C143" vm="708">
        <f ca="1"/>
        <v>68.34</v>
      </c>
      <c r="D143" vm="188">
        <f ca="1"/>
        <v>69.42</v>
      </c>
      <c r="E143" vm="709">
        <f ca="1"/>
        <v>68.150000000000006</v>
      </c>
      <c r="F143" vm="710">
        <f ca="1"/>
        <v>16223379</v>
      </c>
      <c r="G143" s="2">
        <f ca="1">AVERAGE(B137:B143)</f>
        <v>69.232857142857142</v>
      </c>
      <c r="H143" s="2">
        <f t="shared" ca="1" si="10"/>
        <v>69.873500000000007</v>
      </c>
      <c r="I143" s="2">
        <f t="shared" ca="1" si="9"/>
        <v>70.578599999999994</v>
      </c>
      <c r="J143">
        <f ca="1">D143-E143</f>
        <v>1.269999999999996</v>
      </c>
      <c r="K143" s="2">
        <f t="shared" ca="1" si="7"/>
        <v>0.91661500000000085</v>
      </c>
      <c r="L143" s="3">
        <f ca="1">(B143/$B$2)-1</f>
        <v>0.12192755498059493</v>
      </c>
      <c r="M143">
        <f ca="1">_xlfn.STDEV.P(L130:L143)</f>
        <v>8.9917934103322713E-3</v>
      </c>
      <c r="N143">
        <f t="shared" ca="1" si="8"/>
        <v>16545495.949999999</v>
      </c>
    </row>
    <row r="144" spans="1:14" x14ac:dyDescent="0.25">
      <c r="A144" vm="711">
        <f ca="1"/>
        <v>45868</v>
      </c>
      <c r="B144" vm="700">
        <f ca="1"/>
        <v>68.75</v>
      </c>
      <c r="C144" vm="712">
        <f ca="1"/>
        <v>69.11</v>
      </c>
      <c r="D144" vm="713">
        <f ca="1"/>
        <v>69.33</v>
      </c>
      <c r="E144" vm="714">
        <f ca="1"/>
        <v>68.525000000000006</v>
      </c>
      <c r="F144" vm="715">
        <f ca="1"/>
        <v>10448179</v>
      </c>
      <c r="G144" s="2">
        <f ca="1">AVERAGE(B138:B144)</f>
        <v>69.044285714285706</v>
      </c>
      <c r="H144" s="2">
        <f t="shared" ca="1" si="10"/>
        <v>69.727499999999992</v>
      </c>
      <c r="I144" s="2">
        <f t="shared" ca="1" si="9"/>
        <v>70.513599999999997</v>
      </c>
      <c r="J144">
        <f ca="1">D144-E144</f>
        <v>0.80499999999999261</v>
      </c>
      <c r="K144" s="2">
        <f t="shared" ca="1" si="7"/>
        <v>0.87936500000000062</v>
      </c>
      <c r="L144" s="3">
        <f ca="1">(B144/$B$2)-1</f>
        <v>0.11173997412677883</v>
      </c>
      <c r="M144">
        <f ca="1">_xlfn.STDEV.P(L131:L144)</f>
        <v>9.3857330773715886E-3</v>
      </c>
      <c r="N144">
        <f t="shared" ca="1" si="8"/>
        <v>15981441.1</v>
      </c>
    </row>
    <row r="145" spans="1:14" x14ac:dyDescent="0.25">
      <c r="A145" vm="716">
        <f ca="1"/>
        <v>45869</v>
      </c>
      <c r="B145" vm="717">
        <f ca="1"/>
        <v>67.89</v>
      </c>
      <c r="C145" vm="709">
        <f ca="1"/>
        <v>68.150000000000006</v>
      </c>
      <c r="D145" vm="718">
        <f ca="1"/>
        <v>68.650000000000006</v>
      </c>
      <c r="E145" vm="719">
        <f ca="1"/>
        <v>67.739999999999995</v>
      </c>
      <c r="F145" vm="720">
        <f ca="1"/>
        <v>17193418</v>
      </c>
      <c r="G145" s="2">
        <f ca="1">AVERAGE(B139:B145)</f>
        <v>68.791428571428568</v>
      </c>
      <c r="H145" s="2">
        <f t="shared" ca="1" si="10"/>
        <v>69.576499999999996</v>
      </c>
      <c r="I145" s="2">
        <f t="shared" ca="1" si="9"/>
        <v>70.432799999999986</v>
      </c>
      <c r="J145">
        <f ca="1">D145-E145</f>
        <v>0.9100000000000108</v>
      </c>
      <c r="K145" s="2">
        <f t="shared" ca="1" si="7"/>
        <v>0.87036500000000105</v>
      </c>
      <c r="L145" s="3">
        <f ca="1">(B145/$B$2)-1</f>
        <v>9.7833117723156393E-2</v>
      </c>
      <c r="M145">
        <f ca="1">_xlfn.STDEV.P(L132:L145)</f>
        <v>1.1060170245674879E-2</v>
      </c>
      <c r="N145">
        <f t="shared" ca="1" si="8"/>
        <v>16188600.050000001</v>
      </c>
    </row>
    <row r="146" spans="1:14" x14ac:dyDescent="0.25">
      <c r="A146" vm="721">
        <f ca="1"/>
        <v>45870</v>
      </c>
      <c r="B146" vm="722">
        <f ca="1"/>
        <v>68.86</v>
      </c>
      <c r="C146" vm="723">
        <f ca="1"/>
        <v>68.594999999999999</v>
      </c>
      <c r="D146" vm="724">
        <f ca="1"/>
        <v>69.040000000000006</v>
      </c>
      <c r="E146" vm="725">
        <f ca="1"/>
        <v>68.27</v>
      </c>
      <c r="F146" vm="726">
        <f ca="1"/>
        <v>16107506</v>
      </c>
      <c r="G146" s="2">
        <f ca="1">AVERAGE(B140:B146)</f>
        <v>68.748571428571424</v>
      </c>
      <c r="H146" s="2">
        <f t="shared" ca="1" si="10"/>
        <v>69.451999999999998</v>
      </c>
      <c r="I146" s="2">
        <f t="shared" ca="1" si="9"/>
        <v>70.376199999999997</v>
      </c>
      <c r="J146">
        <f ca="1">D146-E146</f>
        <v>0.77000000000001023</v>
      </c>
      <c r="K146" s="2">
        <f t="shared" ca="1" si="7"/>
        <v>0.86161500000000191</v>
      </c>
      <c r="L146" s="3">
        <f ca="1">(B146/$B$2)-1</f>
        <v>0.11351875808538159</v>
      </c>
      <c r="M146">
        <f ca="1">_xlfn.STDEV.P(L133:L146)</f>
        <v>1.1147754236617154E-2</v>
      </c>
      <c r="N146">
        <f t="shared" ca="1" si="8"/>
        <v>16521952.5</v>
      </c>
    </row>
    <row r="147" spans="1:14" x14ac:dyDescent="0.25">
      <c r="A147" vm="727">
        <f ca="1"/>
        <v>45873</v>
      </c>
      <c r="B147" vm="361">
        <f ca="1"/>
        <v>68.959999999999994</v>
      </c>
      <c r="C147" vm="728">
        <f ca="1"/>
        <v>68.715000000000003</v>
      </c>
      <c r="D147" vm="729">
        <f ca="1"/>
        <v>69.084999999999994</v>
      </c>
      <c r="E147" vm="730">
        <f ca="1"/>
        <v>68.31</v>
      </c>
      <c r="F147" vm="731">
        <f ca="1"/>
        <v>10701525</v>
      </c>
      <c r="G147" s="2">
        <f ca="1">AVERAGE(B141:B147)</f>
        <v>68.728571428571428</v>
      </c>
      <c r="H147" s="2">
        <f t="shared" ca="1" si="10"/>
        <v>69.349499999999992</v>
      </c>
      <c r="I147" s="2">
        <f t="shared" ref="I147:I178" ca="1" si="11">AVERAGE(B98:B147)</f>
        <v>70.318399999999997</v>
      </c>
      <c r="J147">
        <f ca="1">D147-E147</f>
        <v>0.77499999999999147</v>
      </c>
      <c r="K147" s="2">
        <f t="shared" ca="1" si="7"/>
        <v>0.87186500000000111</v>
      </c>
      <c r="L147" s="3">
        <f ca="1">(B147/$B$2)-1</f>
        <v>0.11513583441138397</v>
      </c>
      <c r="M147">
        <f ca="1">_xlfn.STDEV.P(L134:L147)</f>
        <v>1.1184077444835079E-2</v>
      </c>
      <c r="N147">
        <f t="shared" ca="1" si="8"/>
        <v>16207795</v>
      </c>
    </row>
    <row r="148" spans="1:14" x14ac:dyDescent="0.25">
      <c r="A148" vm="732">
        <f ca="1"/>
        <v>45874</v>
      </c>
      <c r="B148" vm="174">
        <f ca="1"/>
        <v>69.05</v>
      </c>
      <c r="C148" vm="319">
        <f ca="1"/>
        <v>68.900000000000006</v>
      </c>
      <c r="D148" vm="733">
        <f ca="1"/>
        <v>69.484999999999999</v>
      </c>
      <c r="E148" vm="700">
        <f ca="1"/>
        <v>68.75</v>
      </c>
      <c r="F148" vm="734">
        <f ca="1"/>
        <v>11993391</v>
      </c>
      <c r="G148" s="2">
        <f ca="1">AVERAGE(B142:B148)</f>
        <v>68.71142857142857</v>
      </c>
      <c r="H148" s="2">
        <f t="shared" ca="1" si="10"/>
        <v>69.289999999999992</v>
      </c>
      <c r="I148" s="2">
        <f t="shared" ca="1" si="11"/>
        <v>70.276600000000002</v>
      </c>
      <c r="J148">
        <f ca="1">D148-E148</f>
        <v>0.73499999999999943</v>
      </c>
      <c r="K148" s="2">
        <f t="shared" ca="1" si="7"/>
        <v>0.86861500000000047</v>
      </c>
      <c r="L148" s="3">
        <f ca="1">(B148/$B$2)-1</f>
        <v>0.11659120310478643</v>
      </c>
      <c r="M148">
        <f ca="1">_xlfn.STDEV.P(L135:L148)</f>
        <v>1.1195880946953764E-2</v>
      </c>
      <c r="N148">
        <f t="shared" ca="1" si="8"/>
        <v>15951688.5</v>
      </c>
    </row>
    <row r="149" spans="1:14" x14ac:dyDescent="0.25">
      <c r="A149" vm="735">
        <f ca="1"/>
        <v>45875</v>
      </c>
      <c r="B149" vm="664">
        <f ca="1"/>
        <v>69.510000000000005</v>
      </c>
      <c r="C149" vm="736">
        <f ca="1"/>
        <v>69.12</v>
      </c>
      <c r="D149" vm="659">
        <f ca="1"/>
        <v>69.8</v>
      </c>
      <c r="E149" vm="737">
        <f ca="1"/>
        <v>68.63</v>
      </c>
      <c r="F149" vm="738">
        <f ca="1"/>
        <v>10782977</v>
      </c>
      <c r="G149" s="2">
        <f ca="1">AVERAGE(B143:B149)</f>
        <v>68.914285714285711</v>
      </c>
      <c r="H149" s="2">
        <f t="shared" ref="H149:H180" ca="1" si="12">AVERAGE(B130:B149)</f>
        <v>69.291499999999999</v>
      </c>
      <c r="I149" s="2">
        <f t="shared" ca="1" si="11"/>
        <v>70.231400000000008</v>
      </c>
      <c r="J149">
        <f ca="1">D149-E149</f>
        <v>1.1700000000000017</v>
      </c>
      <c r="K149" s="2">
        <f t="shared" ca="1" si="7"/>
        <v>0.86311500000000052</v>
      </c>
      <c r="L149" s="3">
        <f ca="1">(B149/$B$2)-1</f>
        <v>0.12402975420439843</v>
      </c>
      <c r="M149">
        <f ca="1">_xlfn.STDEV.P(L136:L149)</f>
        <v>9.4268018017527235E-3</v>
      </c>
      <c r="N149">
        <f t="shared" ca="1" si="8"/>
        <v>14805631.4</v>
      </c>
    </row>
    <row r="150" spans="1:14" x14ac:dyDescent="0.25">
      <c r="A150" vm="739">
        <f ca="1"/>
        <v>45876</v>
      </c>
      <c r="B150" vm="740">
        <f ca="1"/>
        <v>70.430000000000007</v>
      </c>
      <c r="C150" vm="741">
        <f ca="1"/>
        <v>69.459999999999994</v>
      </c>
      <c r="D150" vm="742">
        <f ca="1"/>
        <v>70.715000000000003</v>
      </c>
      <c r="E150" vm="713">
        <f ca="1"/>
        <v>69.33</v>
      </c>
      <c r="F150" vm="743">
        <f ca="1"/>
        <v>15790802</v>
      </c>
      <c r="G150" s="2">
        <f ca="1">AVERAGE(B144:B150)</f>
        <v>69.064285714285717</v>
      </c>
      <c r="H150" s="2">
        <f t="shared" ca="1" si="12"/>
        <v>69.3245</v>
      </c>
      <c r="I150" s="2">
        <f t="shared" ca="1" si="11"/>
        <v>70.204400000000007</v>
      </c>
      <c r="J150">
        <f ca="1">D150-E150</f>
        <v>1.3850000000000051</v>
      </c>
      <c r="K150" s="2">
        <f t="shared" ref="K150:K213" ca="1" si="13">AVERAGE(J131:J150)</f>
        <v>0.89811500000000066</v>
      </c>
      <c r="L150" s="3">
        <f ca="1">(B150/$B$2)-1</f>
        <v>0.13890685640362221</v>
      </c>
      <c r="M150">
        <f ca="1">_xlfn.STDEV.P(L137:L150)</f>
        <v>1.0525887043613218E-2</v>
      </c>
      <c r="N150">
        <f t="shared" ref="N150:N213" ca="1" si="14">AVERAGE(F131:F150)</f>
        <v>14864419.199999999</v>
      </c>
    </row>
    <row r="151" spans="1:14" x14ac:dyDescent="0.25">
      <c r="A151" vm="744">
        <f ca="1"/>
        <v>45877</v>
      </c>
      <c r="B151" vm="745">
        <f ca="1"/>
        <v>70.34</v>
      </c>
      <c r="C151" vm="746">
        <f ca="1"/>
        <v>70.364999999999995</v>
      </c>
      <c r="D151" vm="747">
        <f ca="1"/>
        <v>70.870999999999995</v>
      </c>
      <c r="E151" vm="238">
        <f ca="1"/>
        <v>70.08</v>
      </c>
      <c r="F151" vm="748">
        <f ca="1"/>
        <v>9232651</v>
      </c>
      <c r="G151" s="2">
        <f ca="1">AVERAGE(B145:B151)</f>
        <v>69.291428571428568</v>
      </c>
      <c r="H151" s="2">
        <f t="shared" ca="1" si="12"/>
        <v>69.347999999999985</v>
      </c>
      <c r="I151" s="2">
        <f t="shared" ca="1" si="11"/>
        <v>70.188200000000009</v>
      </c>
      <c r="J151">
        <f ca="1">D151-E151</f>
        <v>0.79099999999999682</v>
      </c>
      <c r="K151" s="2">
        <f t="shared" ca="1" si="13"/>
        <v>0.8924150000000004</v>
      </c>
      <c r="L151" s="3">
        <f ca="1">(B151/$B$2)-1</f>
        <v>0.13745148771021998</v>
      </c>
      <c r="M151">
        <f ca="1">_xlfn.STDEV.P(L138:L151)</f>
        <v>1.1016005099659304E-2</v>
      </c>
      <c r="N151">
        <f t="shared" ca="1" si="14"/>
        <v>14680218.25</v>
      </c>
    </row>
    <row r="152" spans="1:14" x14ac:dyDescent="0.25">
      <c r="A152" vm="749">
        <f ca="1"/>
        <v>45880</v>
      </c>
      <c r="B152" vm="623">
        <f ca="1"/>
        <v>70.75</v>
      </c>
      <c r="C152" vm="750">
        <f ca="1"/>
        <v>70.3</v>
      </c>
      <c r="D152" vm="203">
        <f ca="1"/>
        <v>70.86</v>
      </c>
      <c r="E152" vm="751">
        <f ca="1"/>
        <v>69.959999999999994</v>
      </c>
      <c r="F152" vm="752">
        <f ca="1"/>
        <v>10909371</v>
      </c>
      <c r="G152" s="2">
        <f ca="1">AVERAGE(B146:B152)</f>
        <v>69.7</v>
      </c>
      <c r="H152" s="2">
        <f t="shared" ca="1" si="12"/>
        <v>69.411999999999992</v>
      </c>
      <c r="I152" s="2">
        <f t="shared" ca="1" si="11"/>
        <v>70.173400000000015</v>
      </c>
      <c r="J152">
        <f ca="1">D152-E152</f>
        <v>0.90000000000000568</v>
      </c>
      <c r="K152" s="2">
        <f t="shared" ca="1" si="13"/>
        <v>0.89701000000000097</v>
      </c>
      <c r="L152" s="3">
        <f ca="1">(B152/$B$2)-1</f>
        <v>0.14408150064683056</v>
      </c>
      <c r="M152">
        <f ca="1">_xlfn.STDEV.P(L139:L152)</f>
        <v>1.2727841287704362E-2</v>
      </c>
      <c r="N152">
        <f t="shared" ca="1" si="14"/>
        <v>14526524.5</v>
      </c>
    </row>
    <row r="153" spans="1:14" x14ac:dyDescent="0.25">
      <c r="A153" vm="753">
        <f ca="1"/>
        <v>45881</v>
      </c>
      <c r="B153" vm="754">
        <f ca="1"/>
        <v>70.709999999999994</v>
      </c>
      <c r="C153" vm="755">
        <f ca="1"/>
        <v>70.814999999999998</v>
      </c>
      <c r="D153" vm="756">
        <f ca="1"/>
        <v>71.06</v>
      </c>
      <c r="E153" vm="757">
        <f ca="1"/>
        <v>70.22</v>
      </c>
      <c r="F153" vm="758">
        <f ca="1"/>
        <v>11065044</v>
      </c>
      <c r="G153" s="2">
        <f ca="1">AVERAGE(B147:B153)</f>
        <v>69.964285714285708</v>
      </c>
      <c r="H153" s="2">
        <f t="shared" ca="1" si="12"/>
        <v>69.479500000000002</v>
      </c>
      <c r="I153" s="2">
        <f t="shared" ca="1" si="11"/>
        <v>70.145600000000016</v>
      </c>
      <c r="J153">
        <f ca="1">D153-E153</f>
        <v>0.84000000000000341</v>
      </c>
      <c r="K153" s="2">
        <f t="shared" ca="1" si="13"/>
        <v>0.91901000000000155</v>
      </c>
      <c r="L153" s="3">
        <f ca="1">(B153/$B$2)-1</f>
        <v>0.1434346701164293</v>
      </c>
      <c r="M153">
        <f ca="1">_xlfn.STDEV.P(L140:L153)</f>
        <v>1.4096232532342044E-2</v>
      </c>
      <c r="N153">
        <f t="shared" ca="1" si="14"/>
        <v>14447786.300000001</v>
      </c>
    </row>
    <row r="154" spans="1:14" x14ac:dyDescent="0.25">
      <c r="A154" vm="759">
        <f ca="1"/>
        <v>45882</v>
      </c>
      <c r="B154" vm="244">
        <f ca="1"/>
        <v>70.459999999999994</v>
      </c>
      <c r="C154" vm="760">
        <f ca="1"/>
        <v>70.69</v>
      </c>
      <c r="D154" vm="761">
        <f ca="1"/>
        <v>70.77</v>
      </c>
      <c r="E154" vm="762">
        <f ca="1"/>
        <v>70.23</v>
      </c>
      <c r="F154" vm="763">
        <f ca="1"/>
        <v>10356518</v>
      </c>
      <c r="G154" s="2">
        <f ca="1">AVERAGE(B148:B154)</f>
        <v>70.178571428571431</v>
      </c>
      <c r="H154" s="2">
        <f t="shared" ca="1" si="12"/>
        <v>69.539000000000001</v>
      </c>
      <c r="I154" s="2">
        <f t="shared" ca="1" si="11"/>
        <v>70.114800000000002</v>
      </c>
      <c r="J154">
        <f ca="1">D154-E154</f>
        <v>0.53999999999999204</v>
      </c>
      <c r="K154" s="2">
        <f t="shared" ca="1" si="13"/>
        <v>0.91051000000000148</v>
      </c>
      <c r="L154" s="3">
        <f ca="1">(B154/$B$2)-1</f>
        <v>0.13939197930142289</v>
      </c>
      <c r="M154">
        <f ca="1">_xlfn.STDEV.P(L141:L154)</f>
        <v>1.4756539128182243E-2</v>
      </c>
      <c r="N154">
        <f t="shared" ca="1" si="14"/>
        <v>14306697.6</v>
      </c>
    </row>
    <row r="155" spans="1:14" x14ac:dyDescent="0.25">
      <c r="A155" vm="764">
        <f ca="1"/>
        <v>45883</v>
      </c>
      <c r="B155" vm="665">
        <f ca="1"/>
        <v>69.55</v>
      </c>
      <c r="C155" vm="590">
        <f ca="1"/>
        <v>70.38</v>
      </c>
      <c r="D155" vm="244">
        <f ca="1"/>
        <v>70.459999999999994</v>
      </c>
      <c r="E155" vm="765">
        <f ca="1"/>
        <v>69.39</v>
      </c>
      <c r="F155" vm="766">
        <f ca="1"/>
        <v>10722373</v>
      </c>
      <c r="G155" s="2">
        <f ca="1">AVERAGE(B149:B155)</f>
        <v>70.249999999999986</v>
      </c>
      <c r="H155" s="2">
        <f t="shared" ca="1" si="12"/>
        <v>69.486999999999995</v>
      </c>
      <c r="I155" s="2">
        <f t="shared" ca="1" si="11"/>
        <v>70.082600000000014</v>
      </c>
      <c r="J155">
        <f ca="1">D155-E155</f>
        <v>1.0699999999999932</v>
      </c>
      <c r="K155" s="2">
        <f t="shared" ca="1" si="13"/>
        <v>0.90526000000000129</v>
      </c>
      <c r="L155" s="3">
        <f ca="1">(B155/$B$2)-1</f>
        <v>0.12467658473479948</v>
      </c>
      <c r="M155">
        <f ca="1">_xlfn.STDEV.P(L142:L155)</f>
        <v>1.4704914653576727E-2</v>
      </c>
      <c r="N155">
        <f t="shared" ca="1" si="14"/>
        <v>13819583.4</v>
      </c>
    </row>
    <row r="156" spans="1:14" x14ac:dyDescent="0.25">
      <c r="A156" vm="767">
        <f ca="1"/>
        <v>45884</v>
      </c>
      <c r="B156" vm="617">
        <f ca="1"/>
        <v>69.92</v>
      </c>
      <c r="C156" vm="268">
        <f ca="1"/>
        <v>69.739999999999995</v>
      </c>
      <c r="D156" vm="768">
        <f ca="1"/>
        <v>70.385000000000005</v>
      </c>
      <c r="E156" vm="769">
        <f ca="1"/>
        <v>69.569999999999993</v>
      </c>
      <c r="F156" vm="770">
        <f ca="1"/>
        <v>12381112</v>
      </c>
      <c r="G156" s="2">
        <f ca="1">AVERAGE(B150:B156)</f>
        <v>70.308571428571426</v>
      </c>
      <c r="H156" s="2">
        <f t="shared" ca="1" si="12"/>
        <v>69.490499999999997</v>
      </c>
      <c r="I156" s="2">
        <f t="shared" ca="1" si="11"/>
        <v>70.053600000000017</v>
      </c>
      <c r="J156">
        <f ca="1">D156-E156</f>
        <v>0.81500000000001194</v>
      </c>
      <c r="K156" s="2">
        <f t="shared" ca="1" si="13"/>
        <v>0.90276000000000134</v>
      </c>
      <c r="L156" s="3">
        <f ca="1">(B156/$B$2)-1</f>
        <v>0.13065976714100902</v>
      </c>
      <c r="M156">
        <f ca="1">_xlfn.STDEV.P(L143:L156)</f>
        <v>1.338827274926241E-2</v>
      </c>
      <c r="N156">
        <f t="shared" ca="1" si="14"/>
        <v>13692241.5</v>
      </c>
    </row>
    <row r="157" spans="1:14" x14ac:dyDescent="0.25">
      <c r="A157" vm="771">
        <f ca="1"/>
        <v>45887</v>
      </c>
      <c r="B157" vm="698">
        <f ca="1"/>
        <v>69.13</v>
      </c>
      <c r="C157" vm="772">
        <f ca="1"/>
        <v>69.98</v>
      </c>
      <c r="D157" vm="773">
        <f ca="1"/>
        <v>70.05</v>
      </c>
      <c r="E157" vm="174">
        <f ca="1"/>
        <v>69.05</v>
      </c>
      <c r="F157" vm="774">
        <f ca="1"/>
        <v>14094881</v>
      </c>
      <c r="G157" s="2">
        <f ca="1">AVERAGE(B151:B157)</f>
        <v>70.122857142857143</v>
      </c>
      <c r="H157" s="2">
        <f t="shared" ca="1" si="12"/>
        <v>69.4435</v>
      </c>
      <c r="I157" s="2">
        <f t="shared" ca="1" si="11"/>
        <v>70.018000000000015</v>
      </c>
      <c r="J157">
        <f ca="1">D157-E157</f>
        <v>1</v>
      </c>
      <c r="K157" s="2">
        <f t="shared" ca="1" si="13"/>
        <v>0.91826000000000152</v>
      </c>
      <c r="L157" s="3">
        <f ca="1">(B157/$B$2)-1</f>
        <v>0.11788486416558852</v>
      </c>
      <c r="M157">
        <f ca="1">_xlfn.STDEV.P(L144:L157)</f>
        <v>1.3508929245958977E-2</v>
      </c>
      <c r="N157">
        <f t="shared" ca="1" si="14"/>
        <v>13506399.6</v>
      </c>
    </row>
    <row r="158" spans="1:14" x14ac:dyDescent="0.25">
      <c r="A158" vm="775">
        <f ca="1"/>
        <v>45888</v>
      </c>
      <c r="B158" vm="182">
        <f ca="1"/>
        <v>70.13</v>
      </c>
      <c r="C158" vm="290">
        <f ca="1"/>
        <v>69.3</v>
      </c>
      <c r="D158" vm="757">
        <f ca="1"/>
        <v>70.22</v>
      </c>
      <c r="E158" vm="283">
        <f ca="1"/>
        <v>69.239999999999995</v>
      </c>
      <c r="F158" vm="776">
        <f ca="1"/>
        <v>13862214</v>
      </c>
      <c r="G158" s="2">
        <f ca="1">AVERAGE(B152:B158)</f>
        <v>70.092857142857142</v>
      </c>
      <c r="H158" s="2">
        <f t="shared" ca="1" si="12"/>
        <v>69.467000000000013</v>
      </c>
      <c r="I158" s="2">
        <f t="shared" ca="1" si="11"/>
        <v>69.993600000000015</v>
      </c>
      <c r="J158">
        <f ca="1">D158-E158</f>
        <v>0.98000000000000398</v>
      </c>
      <c r="K158" s="2">
        <f t="shared" ca="1" si="13"/>
        <v>0.88880000000000126</v>
      </c>
      <c r="L158" s="3">
        <f ca="1">(B158/$B$2)-1</f>
        <v>0.13405562742561439</v>
      </c>
      <c r="M158">
        <f ca="1">_xlfn.STDEV.P(L145:L158)</f>
        <v>1.311615647350099E-2</v>
      </c>
      <c r="N158">
        <f t="shared" ca="1" si="14"/>
        <v>13082516.1</v>
      </c>
    </row>
    <row r="159" spans="1:14" x14ac:dyDescent="0.25">
      <c r="A159" vm="777">
        <f ca="1"/>
        <v>45889</v>
      </c>
      <c r="B159" vm="678">
        <f ca="1"/>
        <v>70.7</v>
      </c>
      <c r="C159" vm="240">
        <f ca="1"/>
        <v>70.739999999999995</v>
      </c>
      <c r="D159" vm="778">
        <f ca="1"/>
        <v>71.704999999999998</v>
      </c>
      <c r="E159" vm="779">
        <f ca="1"/>
        <v>70.405000000000001</v>
      </c>
      <c r="F159" vm="780">
        <f ca="1"/>
        <v>17530847</v>
      </c>
      <c r="G159" s="2">
        <f ca="1">AVERAGE(B153:B159)</f>
        <v>70.085714285714275</v>
      </c>
      <c r="H159" s="2">
        <f t="shared" ca="1" si="12"/>
        <v>69.544000000000011</v>
      </c>
      <c r="I159" s="2">
        <f t="shared" ca="1" si="11"/>
        <v>69.972200000000015</v>
      </c>
      <c r="J159">
        <f ca="1">D159-E159</f>
        <v>1.2999999999999972</v>
      </c>
      <c r="K159" s="2">
        <f t="shared" ca="1" si="13"/>
        <v>0.89680000000000104</v>
      </c>
      <c r="L159" s="3">
        <f ca="1">(B159/$B$2)-1</f>
        <v>0.14327296248382915</v>
      </c>
      <c r="M159">
        <f ca="1">_xlfn.STDEV.P(L146:L159)</f>
        <v>1.0945797829000334E-2</v>
      </c>
      <c r="N159">
        <f t="shared" ca="1" si="14"/>
        <v>12907558.800000001</v>
      </c>
    </row>
    <row r="160" spans="1:14" x14ac:dyDescent="0.25">
      <c r="A160" vm="781">
        <f ca="1"/>
        <v>45890</v>
      </c>
      <c r="B160" vm="782">
        <f ca="1"/>
        <v>70.66</v>
      </c>
      <c r="C160" vm="783">
        <f ca="1"/>
        <v>70.599999999999994</v>
      </c>
      <c r="D160" vm="377">
        <f ca="1"/>
        <v>70.905000000000001</v>
      </c>
      <c r="E160" vm="199">
        <f ca="1"/>
        <v>70.33</v>
      </c>
      <c r="F160" vm="784">
        <f ca="1"/>
        <v>8840427</v>
      </c>
      <c r="G160" s="2">
        <f ca="1">AVERAGE(B154:B160)</f>
        <v>70.078571428571422</v>
      </c>
      <c r="H160" s="2">
        <f t="shared" ca="1" si="12"/>
        <v>69.622000000000028</v>
      </c>
      <c r="I160" s="2">
        <f t="shared" ca="1" si="11"/>
        <v>69.938400000000016</v>
      </c>
      <c r="J160">
        <f ca="1">D160-E160</f>
        <v>0.57500000000000284</v>
      </c>
      <c r="K160" s="2">
        <f t="shared" ca="1" si="13"/>
        <v>0.89755000000000107</v>
      </c>
      <c r="L160" s="3">
        <f ca="1">(B160/$B$2)-1</f>
        <v>0.1426261319534281</v>
      </c>
      <c r="M160">
        <f ca="1">_xlfn.STDEV.P(L147:L160)</f>
        <v>1.0322517443182119E-2</v>
      </c>
      <c r="N160">
        <f t="shared" ca="1" si="14"/>
        <v>12724011.800000001</v>
      </c>
    </row>
    <row r="161" spans="1:14" x14ac:dyDescent="0.25">
      <c r="A161" vm="785">
        <f ca="1"/>
        <v>45891</v>
      </c>
      <c r="B161" vm="182">
        <f ca="1"/>
        <v>70.13</v>
      </c>
      <c r="C161" vm="518">
        <f ca="1"/>
        <v>70.959999999999994</v>
      </c>
      <c r="D161" vm="583">
        <f ca="1"/>
        <v>71.02</v>
      </c>
      <c r="E161" vm="617">
        <f ca="1"/>
        <v>69.92</v>
      </c>
      <c r="F161" vm="786">
        <f ca="1"/>
        <v>12999606</v>
      </c>
      <c r="G161" s="2">
        <f ca="1">AVERAGE(B155:B161)</f>
        <v>70.031428571428577</v>
      </c>
      <c r="H161" s="2">
        <f t="shared" ca="1" si="12"/>
        <v>69.67000000000003</v>
      </c>
      <c r="I161" s="2">
        <f t="shared" ca="1" si="11"/>
        <v>69.899600000000021</v>
      </c>
      <c r="J161">
        <f ca="1">D161-E161</f>
        <v>1.0999999999999943</v>
      </c>
      <c r="K161" s="2">
        <f t="shared" ca="1" si="13"/>
        <v>0.92855000000000065</v>
      </c>
      <c r="L161" s="3">
        <f ca="1">(B161/$B$2)-1</f>
        <v>0.13405562742561439</v>
      </c>
      <c r="M161">
        <f ca="1">_xlfn.STDEV.P(L148:L161)</f>
        <v>9.1599610308570559E-3</v>
      </c>
      <c r="N161">
        <f t="shared" ca="1" si="14"/>
        <v>12745250.949999999</v>
      </c>
    </row>
    <row r="162" spans="1:14" x14ac:dyDescent="0.25">
      <c r="A162" vm="787">
        <f ca="1"/>
        <v>45894</v>
      </c>
      <c r="B162" vm="788">
        <f ca="1"/>
        <v>68.930000000000007</v>
      </c>
      <c r="C162" vm="289">
        <f ca="1"/>
        <v>70.11</v>
      </c>
      <c r="D162" vm="762">
        <f ca="1"/>
        <v>70.23</v>
      </c>
      <c r="E162" vm="728">
        <f ca="1"/>
        <v>68.715000000000003</v>
      </c>
      <c r="F162" vm="789">
        <f ca="1"/>
        <v>13634562</v>
      </c>
      <c r="G162" s="2">
        <f ca="1">AVERAGE(B156:B162)</f>
        <v>69.942857142857136</v>
      </c>
      <c r="H162" s="2">
        <f t="shared" ca="1" si="12"/>
        <v>69.712000000000018</v>
      </c>
      <c r="I162" s="2">
        <f t="shared" ca="1" si="11"/>
        <v>69.833400000000012</v>
      </c>
      <c r="J162">
        <f ca="1">D162-E162</f>
        <v>1.5150000000000006</v>
      </c>
      <c r="K162" s="2">
        <f t="shared" ca="1" si="13"/>
        <v>0.96230000000000049</v>
      </c>
      <c r="L162" s="3">
        <f ca="1">(B162/$B$2)-1</f>
        <v>0.11465071151358353</v>
      </c>
      <c r="M162">
        <f ca="1">_xlfn.STDEV.P(L149:L162)</f>
        <v>9.4278278197138608E-3</v>
      </c>
      <c r="N162">
        <f t="shared" ca="1" si="14"/>
        <v>12743539.15</v>
      </c>
    </row>
    <row r="163" spans="1:14" x14ac:dyDescent="0.25">
      <c r="A163" vm="790">
        <f ca="1"/>
        <v>45895</v>
      </c>
      <c r="B163" vm="791">
        <f ca="1"/>
        <v>68.73</v>
      </c>
      <c r="C163" vm="724">
        <f ca="1"/>
        <v>69.040000000000006</v>
      </c>
      <c r="D163" vm="285">
        <f ca="1"/>
        <v>69.08</v>
      </c>
      <c r="E163" vm="792">
        <f ca="1"/>
        <v>68.575000000000003</v>
      </c>
      <c r="F163" vm="793">
        <f ca="1"/>
        <v>17964231</v>
      </c>
      <c r="G163" s="2">
        <f ca="1">AVERAGE(B157:B163)</f>
        <v>69.772857142857148</v>
      </c>
      <c r="H163" s="2">
        <f t="shared" ca="1" si="12"/>
        <v>69.679500000000019</v>
      </c>
      <c r="I163" s="2">
        <f t="shared" ca="1" si="11"/>
        <v>69.787599999999998</v>
      </c>
      <c r="J163">
        <f ca="1">D163-E163</f>
        <v>0.50499999999999545</v>
      </c>
      <c r="K163" s="2">
        <f t="shared" ca="1" si="13"/>
        <v>0.92405000000000048</v>
      </c>
      <c r="L163" s="3">
        <f ca="1">(B163/$B$2)-1</f>
        <v>0.11141655886157831</v>
      </c>
      <c r="M163">
        <f ca="1">_xlfn.STDEV.P(L150:L163)</f>
        <v>1.0794594740430118E-2</v>
      </c>
      <c r="N163">
        <f t="shared" ca="1" si="14"/>
        <v>12830581.75</v>
      </c>
    </row>
    <row r="164" spans="1:14" x14ac:dyDescent="0.25">
      <c r="A164" vm="794">
        <f ca="1"/>
        <v>45896</v>
      </c>
      <c r="B164" vm="795">
        <f ca="1"/>
        <v>68.83</v>
      </c>
      <c r="C164" vm="159">
        <f ca="1"/>
        <v>68.819999999999993</v>
      </c>
      <c r="D164" vm="168">
        <f ca="1"/>
        <v>68.87</v>
      </c>
      <c r="E164" vm="796">
        <f ca="1"/>
        <v>68.465000000000003</v>
      </c>
      <c r="F164" vm="797">
        <f ca="1"/>
        <v>11562741</v>
      </c>
      <c r="G164" s="2">
        <f ca="1">AVERAGE(B158:B164)</f>
        <v>69.73</v>
      </c>
      <c r="H164" s="2">
        <f t="shared" ca="1" si="12"/>
        <v>69.683499999999995</v>
      </c>
      <c r="I164" s="2">
        <f t="shared" ca="1" si="11"/>
        <v>69.753799999999998</v>
      </c>
      <c r="J164">
        <f ca="1">D164-E164</f>
        <v>0.40500000000000114</v>
      </c>
      <c r="K164" s="2">
        <f t="shared" ca="1" si="13"/>
        <v>0.90405000000000091</v>
      </c>
      <c r="L164" s="3">
        <f ca="1">(B164/$B$2)-1</f>
        <v>0.11303363518758069</v>
      </c>
      <c r="M164">
        <f ca="1">_xlfn.STDEV.P(L151:L164)</f>
        <v>1.1732699029362609E-2</v>
      </c>
      <c r="N164">
        <f t="shared" ca="1" si="14"/>
        <v>12886309.85</v>
      </c>
    </row>
    <row r="165" spans="1:14" x14ac:dyDescent="0.25">
      <c r="A165" vm="798">
        <f ca="1"/>
        <v>45897</v>
      </c>
      <c r="B165" vm="799">
        <f ca="1"/>
        <v>68.36</v>
      </c>
      <c r="C165" vm="489">
        <f ca="1"/>
        <v>68.88</v>
      </c>
      <c r="D165" vm="319">
        <f ca="1"/>
        <v>68.900000000000006</v>
      </c>
      <c r="E165" vm="800">
        <f ca="1"/>
        <v>68.28</v>
      </c>
      <c r="F165" vm="801">
        <f ca="1"/>
        <v>16209870</v>
      </c>
      <c r="G165" s="2">
        <f ca="1">AVERAGE(B159:B165)</f>
        <v>69.477142857142866</v>
      </c>
      <c r="H165" s="2">
        <f t="shared" ca="1" si="12"/>
        <v>69.706999999999994</v>
      </c>
      <c r="I165" s="2">
        <f t="shared" ca="1" si="11"/>
        <v>69.7286</v>
      </c>
      <c r="J165">
        <f ca="1">D165-E165</f>
        <v>0.62000000000000455</v>
      </c>
      <c r="K165" s="2">
        <f t="shared" ca="1" si="13"/>
        <v>0.88955000000000051</v>
      </c>
      <c r="L165" s="3">
        <f ca="1">(B165/$B$2)-1</f>
        <v>0.10543337645536854</v>
      </c>
      <c r="M165">
        <f ca="1">_xlfn.STDEV.P(L152:L165)</f>
        <v>1.3231082707502581E-2</v>
      </c>
      <c r="N165">
        <f t="shared" ca="1" si="14"/>
        <v>12837132.449999999</v>
      </c>
    </row>
    <row r="166" spans="1:14" x14ac:dyDescent="0.25">
      <c r="A166" vm="802">
        <f ca="1"/>
        <v>45898</v>
      </c>
      <c r="B166" vm="695">
        <f ca="1"/>
        <v>68.989999999999995</v>
      </c>
      <c r="C166" vm="302">
        <f ca="1"/>
        <v>68.67</v>
      </c>
      <c r="D166" vm="602">
        <f ca="1"/>
        <v>69.14</v>
      </c>
      <c r="E166" vm="803">
        <f ca="1"/>
        <v>68.424999999999997</v>
      </c>
      <c r="F166" vm="804">
        <f ca="1"/>
        <v>14601094</v>
      </c>
      <c r="G166" s="2">
        <f ca="1">AVERAGE(B160:B166)</f>
        <v>69.232857142857142</v>
      </c>
      <c r="H166" s="2">
        <f t="shared" ca="1" si="12"/>
        <v>69.713499999999982</v>
      </c>
      <c r="I166" s="2">
        <f t="shared" ca="1" si="11"/>
        <v>69.724199999999996</v>
      </c>
      <c r="J166">
        <f ca="1">D166-E166</f>
        <v>0.71500000000000341</v>
      </c>
      <c r="K166" s="2">
        <f t="shared" ca="1" si="13"/>
        <v>0.88680000000000025</v>
      </c>
      <c r="L166" s="3">
        <f ca="1">(B166/$B$2)-1</f>
        <v>0.11562095730918487</v>
      </c>
      <c r="M166">
        <f ca="1">_xlfn.STDEV.P(L153:L166)</f>
        <v>1.2858475500508329E-2</v>
      </c>
      <c r="N166">
        <f t="shared" ca="1" si="14"/>
        <v>12761811.85</v>
      </c>
    </row>
    <row r="167" spans="1:14" x14ac:dyDescent="0.25">
      <c r="A167" vm="805">
        <f ca="1"/>
        <v>45902</v>
      </c>
      <c r="B167" vm="806">
        <f ca="1"/>
        <v>69.06</v>
      </c>
      <c r="C167" vm="361">
        <f ca="1"/>
        <v>68.959999999999994</v>
      </c>
      <c r="D167" vm="490">
        <f ca="1"/>
        <v>69.34</v>
      </c>
      <c r="E167" vm="807">
        <f ca="1"/>
        <v>68.254999999999995</v>
      </c>
      <c r="F167" vm="808">
        <f ca="1"/>
        <v>24770073</v>
      </c>
      <c r="G167" s="2">
        <f ca="1">AVERAGE(B161:B167)</f>
        <v>69.004285714285714</v>
      </c>
      <c r="H167" s="2">
        <f t="shared" ca="1" si="12"/>
        <v>69.718499999999977</v>
      </c>
      <c r="I167" s="2">
        <f t="shared" ca="1" si="11"/>
        <v>69.7286</v>
      </c>
      <c r="J167">
        <f ca="1">D167-E167</f>
        <v>1.085000000000008</v>
      </c>
      <c r="K167" s="2">
        <f t="shared" ca="1" si="13"/>
        <v>0.90230000000000099</v>
      </c>
      <c r="L167" s="3">
        <f ca="1">(B167/$B$2)-1</f>
        <v>0.11675291073738681</v>
      </c>
      <c r="M167">
        <f ca="1">_xlfn.STDEV.P(L154:L167)</f>
        <v>1.2157123025172285E-2</v>
      </c>
      <c r="N167">
        <f t="shared" ca="1" si="14"/>
        <v>13465239.25</v>
      </c>
    </row>
    <row r="168" spans="1:14" x14ac:dyDescent="0.25">
      <c r="A168" vm="809">
        <f ca="1"/>
        <v>45903</v>
      </c>
      <c r="B168" vm="695">
        <f ca="1"/>
        <v>68.989999999999995</v>
      </c>
      <c r="C168" vm="810">
        <f ca="1"/>
        <v>68.66</v>
      </c>
      <c r="D168" vm="811">
        <f ca="1"/>
        <v>69.094999999999999</v>
      </c>
      <c r="E168" vm="812">
        <f ca="1"/>
        <v>67.37</v>
      </c>
      <c r="F168" vm="813">
        <f ca="1"/>
        <v>33581491</v>
      </c>
      <c r="G168" s="2">
        <f ca="1">AVERAGE(B162:B168)</f>
        <v>68.84142857142858</v>
      </c>
      <c r="H168" s="2">
        <f t="shared" ca="1" si="12"/>
        <v>69.715499999999992</v>
      </c>
      <c r="I168" s="2">
        <f t="shared" ca="1" si="11"/>
        <v>69.7136</v>
      </c>
      <c r="J168">
        <f ca="1">D168-E168</f>
        <v>1.7249999999999943</v>
      </c>
      <c r="K168" s="2">
        <f t="shared" ca="1" si="13"/>
        <v>0.95180000000000076</v>
      </c>
      <c r="L168" s="3">
        <f ca="1">(B168/$B$2)-1</f>
        <v>0.11562095730918487</v>
      </c>
      <c r="M168">
        <f ca="1">_xlfn.STDEV.P(L155:L168)</f>
        <v>1.1611722344336313E-2</v>
      </c>
      <c r="N168">
        <f t="shared" ca="1" si="14"/>
        <v>14544644.25</v>
      </c>
    </row>
    <row r="169" spans="1:14" x14ac:dyDescent="0.25">
      <c r="A169" vm="814">
        <f ca="1"/>
        <v>45904</v>
      </c>
      <c r="B169" vm="815">
        <f ca="1"/>
        <v>68.25</v>
      </c>
      <c r="C169" vm="712">
        <f ca="1"/>
        <v>69.11</v>
      </c>
      <c r="D169" vm="741">
        <f ca="1"/>
        <v>69.459999999999994</v>
      </c>
      <c r="E169" vm="816">
        <f ca="1"/>
        <v>68.114999999999995</v>
      </c>
      <c r="F169" vm="817">
        <f ca="1"/>
        <v>16736009</v>
      </c>
      <c r="G169" s="2">
        <f ca="1">AVERAGE(B163:B169)</f>
        <v>68.744285714285724</v>
      </c>
      <c r="H169" s="2">
        <f t="shared" ca="1" si="12"/>
        <v>69.652499999999989</v>
      </c>
      <c r="I169" s="2">
        <f t="shared" ca="1" si="11"/>
        <v>69.674399999999991</v>
      </c>
      <c r="J169">
        <f ca="1">D169-E169</f>
        <v>1.3449999999999989</v>
      </c>
      <c r="K169" s="2">
        <f t="shared" ca="1" si="13"/>
        <v>0.96055000000000068</v>
      </c>
      <c r="L169" s="3">
        <f ca="1">(B169/$B$2)-1</f>
        <v>0.10365459249676579</v>
      </c>
      <c r="M169">
        <f ca="1">_xlfn.STDEV.P(L156:L169)</f>
        <v>1.2594761291244504E-2</v>
      </c>
      <c r="N169">
        <f t="shared" ca="1" si="14"/>
        <v>14842295.85</v>
      </c>
    </row>
    <row r="170" spans="1:14" x14ac:dyDescent="0.25">
      <c r="A170" vm="818">
        <f ca="1"/>
        <v>45905</v>
      </c>
      <c r="B170" vm="819">
        <f ca="1"/>
        <v>67.959999999999994</v>
      </c>
      <c r="C170" vm="820">
        <f ca="1"/>
        <v>68.010000000000005</v>
      </c>
      <c r="D170" vm="491">
        <f ca="1"/>
        <v>68.58</v>
      </c>
      <c r="E170" vm="821">
        <f ca="1"/>
        <v>67.87</v>
      </c>
      <c r="F170" vm="822">
        <f ca="1"/>
        <v>23977995</v>
      </c>
      <c r="G170" s="2">
        <f ca="1">AVERAGE(B164:B170)</f>
        <v>68.63428571428571</v>
      </c>
      <c r="H170" s="2">
        <f t="shared" ca="1" si="12"/>
        <v>69.529000000000011</v>
      </c>
      <c r="I170" s="2">
        <f t="shared" ca="1" si="11"/>
        <v>69.640999999999991</v>
      </c>
      <c r="J170">
        <f ca="1">D170-E170</f>
        <v>0.70999999999999375</v>
      </c>
      <c r="K170" s="2">
        <f t="shared" ca="1" si="13"/>
        <v>0.92680000000000007</v>
      </c>
      <c r="L170" s="3">
        <f ca="1">(B170/$B$2)-1</f>
        <v>9.8965071151358108E-2</v>
      </c>
      <c r="M170">
        <f ca="1">_xlfn.STDEV.P(L157:L170)</f>
        <v>1.3529653091173207E-2</v>
      </c>
      <c r="N170">
        <f t="shared" ca="1" si="14"/>
        <v>15251655.5</v>
      </c>
    </row>
    <row r="171" spans="1:14" x14ac:dyDescent="0.25">
      <c r="A171" vm="823">
        <f ca="1"/>
        <v>45908</v>
      </c>
      <c r="B171" vm="824">
        <f ca="1"/>
        <v>67.430000000000007</v>
      </c>
      <c r="C171" vm="825">
        <f ca="1"/>
        <v>67.855000000000004</v>
      </c>
      <c r="D171" vm="826">
        <f ca="1"/>
        <v>67.88</v>
      </c>
      <c r="E171" vm="827">
        <f ca="1"/>
        <v>67.16</v>
      </c>
      <c r="F171" vm="828">
        <f ca="1"/>
        <v>21671747</v>
      </c>
      <c r="G171" s="2">
        <f ca="1">AVERAGE(B165:B171)</f>
        <v>68.434285714285707</v>
      </c>
      <c r="H171" s="2">
        <f t="shared" ca="1" si="12"/>
        <v>69.383499999999998</v>
      </c>
      <c r="I171" s="2">
        <f t="shared" ca="1" si="11"/>
        <v>69.600200000000001</v>
      </c>
      <c r="J171">
        <f ca="1">D171-E171</f>
        <v>0.71999999999999886</v>
      </c>
      <c r="K171" s="2">
        <f t="shared" ca="1" si="13"/>
        <v>0.92325000000000013</v>
      </c>
      <c r="L171" s="3">
        <f ca="1">(B171/$B$2)-1</f>
        <v>9.0394566623544614E-2</v>
      </c>
      <c r="M171">
        <f ca="1">_xlfn.STDEV.P(L158:L171)</f>
        <v>1.5422313711346168E-2</v>
      </c>
      <c r="N171">
        <f t="shared" ca="1" si="14"/>
        <v>15873610.300000001</v>
      </c>
    </row>
    <row r="172" spans="1:14" x14ac:dyDescent="0.25">
      <c r="A172" vm="829">
        <f ca="1"/>
        <v>45909</v>
      </c>
      <c r="B172" vm="830">
        <f ca="1"/>
        <v>67.86</v>
      </c>
      <c r="C172" vm="369">
        <f ca="1"/>
        <v>67.28</v>
      </c>
      <c r="D172" vm="831">
        <f ca="1"/>
        <v>68.105000000000004</v>
      </c>
      <c r="E172" vm="369">
        <f ca="1"/>
        <v>67.28</v>
      </c>
      <c r="F172" vm="832">
        <f ca="1"/>
        <v>14120570</v>
      </c>
      <c r="G172" s="2">
        <f ca="1">AVERAGE(B166:B172)</f>
        <v>68.362857142857152</v>
      </c>
      <c r="H172" s="2">
        <f t="shared" ca="1" si="12"/>
        <v>69.239000000000004</v>
      </c>
      <c r="I172" s="2">
        <f t="shared" ca="1" si="11"/>
        <v>69.550799999999995</v>
      </c>
      <c r="J172">
        <f ca="1">D172-E172</f>
        <v>0.82500000000000284</v>
      </c>
      <c r="K172" s="2">
        <f t="shared" ca="1" si="13"/>
        <v>0.91949999999999998</v>
      </c>
      <c r="L172" s="3">
        <f ca="1">(B172/$B$2)-1</f>
        <v>9.7347994825355721E-2</v>
      </c>
      <c r="M172">
        <f ca="1">_xlfn.STDEV.P(L159:L172)</f>
        <v>1.5438996374740773E-2</v>
      </c>
      <c r="N172">
        <f t="shared" ca="1" si="14"/>
        <v>16034170.25</v>
      </c>
    </row>
    <row r="173" spans="1:14" x14ac:dyDescent="0.25">
      <c r="A173" vm="833">
        <f ca="1"/>
        <v>45910</v>
      </c>
      <c r="B173" vm="834">
        <f ca="1"/>
        <v>67.819999999999993</v>
      </c>
      <c r="C173" vm="835">
        <f ca="1"/>
        <v>67.790000000000006</v>
      </c>
      <c r="D173" vm="836">
        <f ca="1"/>
        <v>68.085400000000007</v>
      </c>
      <c r="E173" vm="837">
        <f ca="1"/>
        <v>67.209999999999994</v>
      </c>
      <c r="F173" vm="838">
        <f ca="1"/>
        <v>16041934</v>
      </c>
      <c r="G173" s="2">
        <f ca="1">AVERAGE(B167:B173)</f>
        <v>68.195714285714288</v>
      </c>
      <c r="H173" s="2">
        <f t="shared" ca="1" si="12"/>
        <v>69.094499999999996</v>
      </c>
      <c r="I173" s="2">
        <f t="shared" ca="1" si="11"/>
        <v>69.492199999999997</v>
      </c>
      <c r="J173">
        <f ca="1">D173-E173</f>
        <v>0.87540000000001328</v>
      </c>
      <c r="K173" s="2">
        <f t="shared" ca="1" si="13"/>
        <v>0.92127000000000048</v>
      </c>
      <c r="L173" s="3">
        <f ca="1">(B173/$B$2)-1</f>
        <v>9.6701164294954456E-2</v>
      </c>
      <c r="M173">
        <f ca="1">_xlfn.STDEV.P(L160:L173)</f>
        <v>1.3810047453165254E-2</v>
      </c>
      <c r="N173">
        <f t="shared" ca="1" si="14"/>
        <v>16283014.75</v>
      </c>
    </row>
    <row r="174" spans="1:14" x14ac:dyDescent="0.25">
      <c r="A174" vm="839">
        <f ca="1"/>
        <v>45911</v>
      </c>
      <c r="B174" vm="840">
        <f ca="1"/>
        <v>67.62</v>
      </c>
      <c r="C174" vm="367">
        <f ca="1"/>
        <v>67.92</v>
      </c>
      <c r="D174" vm="841">
        <f ca="1"/>
        <v>68.165000000000006</v>
      </c>
      <c r="E174" vm="842">
        <f ca="1"/>
        <v>67.58</v>
      </c>
      <c r="F174" vm="843">
        <f ca="1"/>
        <v>15128731</v>
      </c>
      <c r="G174" s="2">
        <f ca="1">AVERAGE(B168:B174)</f>
        <v>67.989999999999995</v>
      </c>
      <c r="H174" s="2">
        <f t="shared" ca="1" si="12"/>
        <v>68.952500000000015</v>
      </c>
      <c r="I174" s="2">
        <f t="shared" ca="1" si="11"/>
        <v>69.411199999999994</v>
      </c>
      <c r="J174">
        <f ca="1">D174-E174</f>
        <v>0.58500000000000796</v>
      </c>
      <c r="K174" s="2">
        <f t="shared" ca="1" si="13"/>
        <v>0.92352000000000134</v>
      </c>
      <c r="L174" s="3">
        <f ca="1">(B174/$B$2)-1</f>
        <v>9.346701164294946E-2</v>
      </c>
      <c r="M174">
        <f ca="1">_xlfn.STDEV.P(L161:L174)</f>
        <v>1.1403611730899921E-2</v>
      </c>
      <c r="N174">
        <f t="shared" ca="1" si="14"/>
        <v>16521625.4</v>
      </c>
    </row>
    <row r="175" spans="1:14" x14ac:dyDescent="0.25">
      <c r="A175" vm="844">
        <f ca="1"/>
        <v>45912</v>
      </c>
      <c r="B175" vm="845">
        <f ca="1"/>
        <v>67.010000000000005</v>
      </c>
      <c r="C175" vm="151">
        <f ca="1"/>
        <v>67.599999999999994</v>
      </c>
      <c r="D175" vm="846">
        <f ca="1"/>
        <v>67.715000000000003</v>
      </c>
      <c r="E175" vm="847">
        <f ca="1"/>
        <v>66.935000000000002</v>
      </c>
      <c r="F175" vm="848">
        <f ca="1"/>
        <v>18712351</v>
      </c>
      <c r="G175" s="2">
        <f ca="1">AVERAGE(B169:B175)</f>
        <v>67.707142857142856</v>
      </c>
      <c r="H175" s="2">
        <f t="shared" ca="1" si="12"/>
        <v>68.825500000000005</v>
      </c>
      <c r="I175" s="2">
        <f t="shared" ca="1" si="11"/>
        <v>69.333199999999991</v>
      </c>
      <c r="J175">
        <f ca="1">D175-E175</f>
        <v>0.78000000000000114</v>
      </c>
      <c r="K175" s="2">
        <f t="shared" ca="1" si="13"/>
        <v>0.90902000000000172</v>
      </c>
      <c r="L175" s="3">
        <f ca="1">(B175/$B$2)-1</f>
        <v>8.3602846054333879E-2</v>
      </c>
      <c r="M175">
        <f ca="1">_xlfn.STDEV.P(L162:L175)</f>
        <v>1.0419385667195483E-2</v>
      </c>
      <c r="N175">
        <f t="shared" ca="1" si="14"/>
        <v>16921124.300000001</v>
      </c>
    </row>
    <row r="176" spans="1:14" x14ac:dyDescent="0.25">
      <c r="A176" vm="849">
        <f ca="1"/>
        <v>45915</v>
      </c>
      <c r="B176" vm="850">
        <f ca="1"/>
        <v>66.209999999999994</v>
      </c>
      <c r="C176" vm="851">
        <f ca="1"/>
        <v>66.680000000000007</v>
      </c>
      <c r="D176" vm="852">
        <f ca="1"/>
        <v>66.78</v>
      </c>
      <c r="E176" vm="853">
        <f ca="1"/>
        <v>66.099999999999994</v>
      </c>
      <c r="F176" vm="854">
        <f ca="1"/>
        <v>15986132</v>
      </c>
      <c r="G176" s="2">
        <f ca="1">AVERAGE(B170:B176)</f>
        <v>67.415714285714287</v>
      </c>
      <c r="H176" s="2">
        <f t="shared" ca="1" si="12"/>
        <v>68.64</v>
      </c>
      <c r="I176" s="2">
        <f t="shared" ca="1" si="11"/>
        <v>69.230399999999989</v>
      </c>
      <c r="J176">
        <f ca="1">D176-E176</f>
        <v>0.68000000000000682</v>
      </c>
      <c r="K176" s="2">
        <f t="shared" ca="1" si="13"/>
        <v>0.90227000000000146</v>
      </c>
      <c r="L176" s="3">
        <f ca="1">(B176/$B$2)-1</f>
        <v>7.0666235446313008E-2</v>
      </c>
      <c r="M176">
        <f ca="1">_xlfn.STDEV.P(L163:L176)</f>
        <v>1.3048169878871569E-2</v>
      </c>
      <c r="N176">
        <f t="shared" ca="1" si="14"/>
        <v>17101375.300000001</v>
      </c>
    </row>
    <row r="177" spans="1:14" x14ac:dyDescent="0.25">
      <c r="A177" vm="855">
        <f ca="1"/>
        <v>45916</v>
      </c>
      <c r="B177" vm="856">
        <f ca="1"/>
        <v>66.239999999999995</v>
      </c>
      <c r="C177" vm="857">
        <f ca="1"/>
        <v>66.349999999999994</v>
      </c>
      <c r="D177" vm="858">
        <f ca="1"/>
        <v>66.510000000000005</v>
      </c>
      <c r="E177" vm="859">
        <f ca="1"/>
        <v>66.055000000000007</v>
      </c>
      <c r="F177" vm="860">
        <f ca="1"/>
        <v>18555912</v>
      </c>
      <c r="G177" s="2">
        <f ca="1">AVERAGE(B171:B177)</f>
        <v>67.17</v>
      </c>
      <c r="H177" s="2">
        <f t="shared" ca="1" si="12"/>
        <v>68.495499999999993</v>
      </c>
      <c r="I177" s="2">
        <f t="shared" ca="1" si="11"/>
        <v>69.134999999999977</v>
      </c>
      <c r="J177">
        <f ca="1">D177-E177</f>
        <v>0.45499999999999829</v>
      </c>
      <c r="K177" s="2">
        <f t="shared" ca="1" si="13"/>
        <v>0.87502000000000135</v>
      </c>
      <c r="L177" s="3">
        <f ca="1">(B177/$B$2)-1</f>
        <v>7.115135834411368E-2</v>
      </c>
      <c r="M177">
        <f ca="1">_xlfn.STDEV.P(L164:L177)</f>
        <v>1.4742048198270075E-2</v>
      </c>
      <c r="N177">
        <f t="shared" ca="1" si="14"/>
        <v>17324426.850000001</v>
      </c>
    </row>
    <row r="178" spans="1:14" x14ac:dyDescent="0.25">
      <c r="A178" vm="861">
        <f ca="1"/>
        <v>45917</v>
      </c>
      <c r="B178" vm="862">
        <f ca="1"/>
        <v>67.040000000000006</v>
      </c>
      <c r="C178" vm="863">
        <f ca="1"/>
        <v>66.405000000000001</v>
      </c>
      <c r="D178" vm="864">
        <f ca="1"/>
        <v>67.13</v>
      </c>
      <c r="E178" vm="863">
        <f ca="1"/>
        <v>66.405000000000001</v>
      </c>
      <c r="F178" vm="865">
        <f ca="1"/>
        <v>17372334</v>
      </c>
      <c r="G178" s="2">
        <f ca="1">AVERAGE(B172:B178)</f>
        <v>67.114285714285714</v>
      </c>
      <c r="H178" s="2">
        <f t="shared" ca="1" si="12"/>
        <v>68.341000000000008</v>
      </c>
      <c r="I178" s="2">
        <f t="shared" ca="1" si="11"/>
        <v>69.070999999999984</v>
      </c>
      <c r="J178">
        <f ca="1">D178-E178</f>
        <v>0.72499999999999432</v>
      </c>
      <c r="K178" s="2">
        <f t="shared" ca="1" si="13"/>
        <v>0.86227000000000087</v>
      </c>
      <c r="L178" s="3">
        <f ca="1">(B178/$B$2)-1</f>
        <v>8.4087968952134551E-2</v>
      </c>
      <c r="M178">
        <f ca="1">_xlfn.STDEV.P(L165:L178)</f>
        <v>1.4520886759458623E-2</v>
      </c>
      <c r="N178">
        <f t="shared" ca="1" si="14"/>
        <v>17499932.850000001</v>
      </c>
    </row>
    <row r="179" spans="1:14" x14ac:dyDescent="0.25">
      <c r="A179" vm="866">
        <f ca="1"/>
        <v>45918</v>
      </c>
      <c r="B179" vm="867">
        <f ca="1"/>
        <v>66.459999999999994</v>
      </c>
      <c r="C179" vm="868">
        <f ca="1"/>
        <v>66.8</v>
      </c>
      <c r="D179" vm="869">
        <f ca="1"/>
        <v>67.034999999999997</v>
      </c>
      <c r="E179" vm="857">
        <f ca="1"/>
        <v>66.349999999999994</v>
      </c>
      <c r="F179" vm="870">
        <f ca="1"/>
        <v>17722919</v>
      </c>
      <c r="G179" s="2">
        <f ca="1">AVERAGE(B173:B179)</f>
        <v>66.914285714285711</v>
      </c>
      <c r="H179" s="2">
        <f t="shared" ca="1" si="12"/>
        <v>68.129000000000019</v>
      </c>
      <c r="I179" s="2">
        <f t="shared" ref="I179:I210" ca="1" si="15">AVERAGE(B130:B179)</f>
        <v>69.010599999999982</v>
      </c>
      <c r="J179">
        <f ca="1">D179-E179</f>
        <v>0.68500000000000227</v>
      </c>
      <c r="K179" s="2">
        <f t="shared" ca="1" si="13"/>
        <v>0.83152000000000115</v>
      </c>
      <c r="L179" s="3">
        <f ca="1">(B179/$B$2)-1</f>
        <v>7.4708926261319419E-2</v>
      </c>
      <c r="M179">
        <f ca="1">_xlfn.STDEV.P(L166:L179)</f>
        <v>1.5228122425914642E-2</v>
      </c>
      <c r="N179">
        <f t="shared" ca="1" si="14"/>
        <v>17509536.449999999</v>
      </c>
    </row>
    <row r="180" spans="1:14" x14ac:dyDescent="0.25">
      <c r="A180" vm="871">
        <f ca="1"/>
        <v>45919</v>
      </c>
      <c r="B180" vm="872">
        <f ca="1"/>
        <v>66.430000000000007</v>
      </c>
      <c r="C180" vm="873">
        <f ca="1"/>
        <v>66.489999999999995</v>
      </c>
      <c r="D180" vm="874">
        <f ca="1"/>
        <v>66.73</v>
      </c>
      <c r="E180" vm="875">
        <f ca="1"/>
        <v>66.045000000000002</v>
      </c>
      <c r="F180" vm="876">
        <f ca="1"/>
        <v>31192851</v>
      </c>
      <c r="G180" s="2">
        <f ca="1">AVERAGE(B174:B180)</f>
        <v>66.715714285714284</v>
      </c>
      <c r="H180" s="2">
        <f t="shared" ca="1" si="12"/>
        <v>67.917500000000018</v>
      </c>
      <c r="I180" s="2">
        <f t="shared" ca="1" si="15"/>
        <v>68.943799999999996</v>
      </c>
      <c r="J180">
        <f ca="1">D180-E180</f>
        <v>0.68500000000000227</v>
      </c>
      <c r="K180" s="2">
        <f t="shared" ca="1" si="13"/>
        <v>0.8370200000000011</v>
      </c>
      <c r="L180" s="3">
        <f ca="1">(B180/$B$2)-1</f>
        <v>7.4223803363518748E-2</v>
      </c>
      <c r="M180">
        <f ca="1">_xlfn.STDEV.P(L167:L180)</f>
        <v>1.47078675611126E-2</v>
      </c>
      <c r="N180">
        <f t="shared" ca="1" si="14"/>
        <v>18627157.649999999</v>
      </c>
    </row>
    <row r="181" spans="1:14" x14ac:dyDescent="0.25">
      <c r="A181" vm="877">
        <f ca="1"/>
        <v>45922</v>
      </c>
      <c r="B181" vm="850">
        <f ca="1"/>
        <v>66.209999999999994</v>
      </c>
      <c r="C181" vm="878">
        <f ca="1"/>
        <v>66.16</v>
      </c>
      <c r="D181" vm="879">
        <f ca="1"/>
        <v>66.59</v>
      </c>
      <c r="E181" vm="880">
        <f ca="1"/>
        <v>66.08</v>
      </c>
      <c r="F181" vm="881">
        <f ca="1"/>
        <v>13298742</v>
      </c>
      <c r="G181" s="2">
        <f ca="1">AVERAGE(B175:B181)</f>
        <v>66.514285714285705</v>
      </c>
      <c r="H181" s="2">
        <f t="shared" ref="H181:H212" ca="1" si="16">AVERAGE(B162:B181)</f>
        <v>67.72150000000002</v>
      </c>
      <c r="I181" s="2">
        <f t="shared" ca="1" si="15"/>
        <v>68.870599999999996</v>
      </c>
      <c r="J181">
        <f ca="1">D181-E181</f>
        <v>0.51000000000000512</v>
      </c>
      <c r="K181" s="2">
        <f t="shared" ca="1" si="13"/>
        <v>0.80752000000000168</v>
      </c>
      <c r="L181" s="3">
        <f ca="1">(B181/$B$2)-1</f>
        <v>7.0666235446313008E-2</v>
      </c>
      <c r="M181">
        <f ca="1">_xlfn.STDEV.P(L168:L181)</f>
        <v>1.3652729751475978E-2</v>
      </c>
      <c r="N181">
        <f t="shared" ca="1" si="14"/>
        <v>18642114.449999999</v>
      </c>
    </row>
    <row r="182" spans="1:14" x14ac:dyDescent="0.25">
      <c r="A182" vm="882">
        <f ca="1"/>
        <v>45923</v>
      </c>
      <c r="B182" vm="883">
        <f ca="1"/>
        <v>66.709999999999994</v>
      </c>
      <c r="C182" vm="857">
        <f ca="1"/>
        <v>66.349999999999994</v>
      </c>
      <c r="D182" vm="884">
        <f ca="1"/>
        <v>66.760000000000005</v>
      </c>
      <c r="E182" vm="885">
        <f ca="1"/>
        <v>65.900000000000006</v>
      </c>
      <c r="F182" vm="886">
        <f ca="1"/>
        <v>15072791</v>
      </c>
      <c r="G182" s="2">
        <f ca="1">AVERAGE(B176:B182)</f>
        <v>66.471428571428561</v>
      </c>
      <c r="H182" s="2">
        <f t="shared" ca="1" si="16"/>
        <v>67.61050000000003</v>
      </c>
      <c r="I182" s="2">
        <f t="shared" ca="1" si="15"/>
        <v>68.815399999999997</v>
      </c>
      <c r="J182">
        <f ca="1">D182-E182</f>
        <v>0.85999999999999943</v>
      </c>
      <c r="K182" s="2">
        <f t="shared" ca="1" si="13"/>
        <v>0.77477000000000162</v>
      </c>
      <c r="L182" s="3">
        <f ca="1">(B182/$B$2)-1</f>
        <v>7.8751617076325831E-2</v>
      </c>
      <c r="M182">
        <f ca="1">_xlfn.STDEV.P(L169:L182)</f>
        <v>1.1337582353621985E-2</v>
      </c>
      <c r="N182">
        <f t="shared" ca="1" si="14"/>
        <v>18714025.899999999</v>
      </c>
    </row>
    <row r="183" spans="1:14" x14ac:dyDescent="0.25">
      <c r="A183" vm="887">
        <f ca="1"/>
        <v>45924</v>
      </c>
      <c r="B183" vm="888">
        <f ca="1"/>
        <v>66.45</v>
      </c>
      <c r="C183" vm="863">
        <f ca="1"/>
        <v>66.405000000000001</v>
      </c>
      <c r="D183" vm="852">
        <f ca="1"/>
        <v>66.78</v>
      </c>
      <c r="E183" vm="889">
        <f ca="1"/>
        <v>65.959999999999994</v>
      </c>
      <c r="F183" vm="890">
        <f ca="1"/>
        <v>14759294</v>
      </c>
      <c r="G183" s="2">
        <f ca="1">AVERAGE(B177:B183)</f>
        <v>66.505714285714276</v>
      </c>
      <c r="H183" s="2">
        <f t="shared" ca="1" si="16"/>
        <v>67.496499999999997</v>
      </c>
      <c r="I183" s="2">
        <f t="shared" ca="1" si="15"/>
        <v>68.757199999999997</v>
      </c>
      <c r="J183">
        <f ca="1">D183-E183</f>
        <v>0.82000000000000739</v>
      </c>
      <c r="K183" s="2">
        <f t="shared" ca="1" si="13"/>
        <v>0.79052000000000222</v>
      </c>
      <c r="L183" s="3">
        <f ca="1">(B183/$B$2)-1</f>
        <v>7.454721862871927E-2</v>
      </c>
      <c r="M183">
        <f ca="1">_xlfn.STDEV.P(L170:L183)</f>
        <v>1.0328958379894969E-2</v>
      </c>
      <c r="N183">
        <f t="shared" ca="1" si="14"/>
        <v>18553779.050000001</v>
      </c>
    </row>
    <row r="184" spans="1:14" x14ac:dyDescent="0.25">
      <c r="A184" vm="891">
        <f ca="1"/>
        <v>45925</v>
      </c>
      <c r="B184" vm="892">
        <f ca="1"/>
        <v>65.98</v>
      </c>
      <c r="C184" vm="893">
        <f ca="1"/>
        <v>66.75</v>
      </c>
      <c r="D184" vm="894">
        <f ca="1"/>
        <v>66.92</v>
      </c>
      <c r="E184" vm="895">
        <f ca="1"/>
        <v>65.95</v>
      </c>
      <c r="F184" vm="896">
        <f ca="1"/>
        <v>14395010</v>
      </c>
      <c r="G184" s="2">
        <f ca="1">AVERAGE(B178:B184)</f>
        <v>66.468571428571423</v>
      </c>
      <c r="H184" s="2">
        <f t="shared" ca="1" si="16"/>
        <v>67.354000000000013</v>
      </c>
      <c r="I184" s="2">
        <f t="shared" ca="1" si="15"/>
        <v>68.691400000000002</v>
      </c>
      <c r="J184">
        <f ca="1">D184-E184</f>
        <v>0.96999999999999886</v>
      </c>
      <c r="K184" s="2">
        <f t="shared" ca="1" si="13"/>
        <v>0.81877000000000211</v>
      </c>
      <c r="L184" s="3">
        <f ca="1">(B184/$B$2)-1</f>
        <v>6.6946959896507119E-2</v>
      </c>
      <c r="M184">
        <f ca="1">_xlfn.STDEV.P(L171:L184)</f>
        <v>1.0038433889836985E-2</v>
      </c>
      <c r="N184">
        <f t="shared" ca="1" si="14"/>
        <v>18695392.5</v>
      </c>
    </row>
    <row r="185" spans="1:14" x14ac:dyDescent="0.25">
      <c r="A185" vm="897">
        <f ca="1"/>
        <v>45926</v>
      </c>
      <c r="B185" vm="898">
        <f ca="1"/>
        <v>65.67</v>
      </c>
      <c r="C185" vm="899">
        <f ca="1"/>
        <v>66.069999999999993</v>
      </c>
      <c r="D185" vm="900">
        <f ca="1"/>
        <v>66.334999999999994</v>
      </c>
      <c r="E185" vm="901">
        <f ca="1"/>
        <v>65.5</v>
      </c>
      <c r="F185" vm="902">
        <f ca="1"/>
        <v>17821566</v>
      </c>
      <c r="G185" s="2">
        <f ca="1">AVERAGE(B179:B185)</f>
        <v>66.272857142857134</v>
      </c>
      <c r="H185" s="2">
        <f t="shared" ca="1" si="16"/>
        <v>67.219500000000011</v>
      </c>
      <c r="I185" s="2">
        <f t="shared" ca="1" si="15"/>
        <v>68.592999999999989</v>
      </c>
      <c r="J185">
        <f ca="1">D185-E185</f>
        <v>0.83499999999999375</v>
      </c>
      <c r="K185" s="2">
        <f t="shared" ca="1" si="13"/>
        <v>0.82952000000000159</v>
      </c>
      <c r="L185" s="3">
        <f ca="1">(B185/$B$2)-1</f>
        <v>6.1934023285899142E-2</v>
      </c>
      <c r="M185">
        <f ca="1">_xlfn.STDEV.P(L172:L185)</f>
        <v>1.0693091491798612E-2</v>
      </c>
      <c r="N185">
        <f t="shared" ca="1" si="14"/>
        <v>18775977.300000001</v>
      </c>
    </row>
    <row r="186" spans="1:14" x14ac:dyDescent="0.25">
      <c r="A186" vm="903">
        <f ca="1"/>
        <v>45929</v>
      </c>
      <c r="B186" vm="904">
        <f ca="1"/>
        <v>66.040000000000006</v>
      </c>
      <c r="C186" vm="898">
        <f ca="1"/>
        <v>65.67</v>
      </c>
      <c r="D186" vm="853">
        <f ca="1"/>
        <v>66.099999999999994</v>
      </c>
      <c r="E186" vm="905">
        <f ca="1"/>
        <v>65.353800000000007</v>
      </c>
      <c r="F186" vm="906">
        <f ca="1"/>
        <v>14818531</v>
      </c>
      <c r="G186" s="2">
        <f ca="1">AVERAGE(B180:B186)</f>
        <v>66.212857142857146</v>
      </c>
      <c r="H186" s="2">
        <f t="shared" ca="1" si="16"/>
        <v>67.072000000000017</v>
      </c>
      <c r="I186" s="2">
        <f t="shared" ca="1" si="15"/>
        <v>68.516799999999989</v>
      </c>
      <c r="J186">
        <f ca="1">D186-E186</f>
        <v>0.74619999999998754</v>
      </c>
      <c r="K186" s="2">
        <f t="shared" ca="1" si="13"/>
        <v>0.83108000000000071</v>
      </c>
      <c r="L186" s="3">
        <f ca="1">(B186/$B$2)-1</f>
        <v>6.7917205692108684E-2</v>
      </c>
      <c r="M186">
        <f ca="1">_xlfn.STDEV.P(L173:L186)</f>
        <v>9.6171104413133816E-3</v>
      </c>
      <c r="N186">
        <f t="shared" ca="1" si="14"/>
        <v>18786849.149999999</v>
      </c>
    </row>
    <row r="187" spans="1:14" x14ac:dyDescent="0.25">
      <c r="A187" vm="907">
        <f ca="1"/>
        <v>45930</v>
      </c>
      <c r="B187" vm="908">
        <f ca="1"/>
        <v>66.319999999999993</v>
      </c>
      <c r="C187" vm="899">
        <f ca="1"/>
        <v>66.069999999999993</v>
      </c>
      <c r="D187" vm="909">
        <f ca="1"/>
        <v>66.64</v>
      </c>
      <c r="E187" vm="910">
        <f ca="1"/>
        <v>65.960099999999997</v>
      </c>
      <c r="F187" vm="911">
        <f ca="1"/>
        <v>13814992</v>
      </c>
      <c r="G187" s="2">
        <f ca="1">AVERAGE(B181:B187)</f>
        <v>66.197142857142865</v>
      </c>
      <c r="H187" s="2">
        <f t="shared" ca="1" si="16"/>
        <v>66.935000000000016</v>
      </c>
      <c r="I187" s="2">
        <f t="shared" ca="1" si="15"/>
        <v>68.441800000000001</v>
      </c>
      <c r="J187">
        <f ca="1">D187-E187</f>
        <v>0.6799000000000035</v>
      </c>
      <c r="K187" s="2">
        <f t="shared" ca="1" si="13"/>
        <v>0.81082500000000057</v>
      </c>
      <c r="L187" s="3">
        <f ca="1">(B187/$B$2)-1</f>
        <v>7.2445019404915767E-2</v>
      </c>
      <c r="M187">
        <f ca="1">_xlfn.STDEV.P(L174:L187)</f>
        <v>7.8172618678795207E-3</v>
      </c>
      <c r="N187">
        <f t="shared" ca="1" si="14"/>
        <v>18239095.100000001</v>
      </c>
    </row>
    <row r="188" spans="1:14" x14ac:dyDescent="0.25">
      <c r="A188" vm="912">
        <f ca="1"/>
        <v>45931</v>
      </c>
      <c r="B188" vm="852">
        <f ca="1"/>
        <v>66.78</v>
      </c>
      <c r="C188" vm="913">
        <f ca="1"/>
        <v>66.504999999999995</v>
      </c>
      <c r="D188" vm="914">
        <f ca="1"/>
        <v>66.83</v>
      </c>
      <c r="E188" vm="915">
        <f ca="1"/>
        <v>66.290000000000006</v>
      </c>
      <c r="F188" vm="916">
        <f ca="1"/>
        <v>14877538</v>
      </c>
      <c r="G188" s="2">
        <f ca="1">AVERAGE(B182:B188)</f>
        <v>66.278571428571439</v>
      </c>
      <c r="H188" s="2">
        <f t="shared" ca="1" si="16"/>
        <v>66.8245</v>
      </c>
      <c r="I188" s="2">
        <f t="shared" ca="1" si="15"/>
        <v>68.384200000000007</v>
      </c>
      <c r="J188">
        <f ca="1">D188-E188</f>
        <v>0.53999999999999204</v>
      </c>
      <c r="K188" s="2">
        <f t="shared" ca="1" si="13"/>
        <v>0.75157500000000044</v>
      </c>
      <c r="L188" s="3">
        <f ca="1">(B188/$B$2)-1</f>
        <v>7.9883570504527768E-2</v>
      </c>
      <c r="M188">
        <f ca="1">_xlfn.STDEV.P(L175:L188)</f>
        <v>6.0692262465918299E-3</v>
      </c>
      <c r="N188">
        <f t="shared" ca="1" si="14"/>
        <v>17303897.449999999</v>
      </c>
    </row>
    <row r="189" spans="1:14" x14ac:dyDescent="0.25">
      <c r="A189" vm="917">
        <f ca="1"/>
        <v>45932</v>
      </c>
      <c r="B189" vm="853">
        <f ca="1"/>
        <v>66.099999999999994</v>
      </c>
      <c r="C189" vm="918">
        <f ca="1"/>
        <v>66.525000000000006</v>
      </c>
      <c r="D189" vm="919">
        <f ca="1"/>
        <v>66.650000000000006</v>
      </c>
      <c r="E189" vm="920">
        <f ca="1"/>
        <v>65.86</v>
      </c>
      <c r="F189" vm="921">
        <f ca="1"/>
        <v>14350722</v>
      </c>
      <c r="G189" s="2">
        <f ca="1">AVERAGE(B183:B189)</f>
        <v>66.191428571428574</v>
      </c>
      <c r="H189" s="2">
        <f t="shared" ca="1" si="16"/>
        <v>66.716999999999999</v>
      </c>
      <c r="I189" s="2">
        <f t="shared" ca="1" si="15"/>
        <v>68.323000000000008</v>
      </c>
      <c r="J189">
        <f ca="1">D189-E189</f>
        <v>0.79000000000000625</v>
      </c>
      <c r="K189" s="2">
        <f t="shared" ca="1" si="13"/>
        <v>0.72382500000000083</v>
      </c>
      <c r="L189" s="3">
        <f ca="1">(B189/$B$2)-1</f>
        <v>6.8887451487710027E-2</v>
      </c>
      <c r="M189">
        <f ca="1">_xlfn.STDEV.P(L176:L189)</f>
        <v>5.5081932951432933E-3</v>
      </c>
      <c r="N189">
        <f t="shared" ca="1" si="14"/>
        <v>17184633.100000001</v>
      </c>
    </row>
    <row r="190" spans="1:14" x14ac:dyDescent="0.25">
      <c r="A190" vm="922">
        <f ca="1"/>
        <v>45933</v>
      </c>
      <c r="B190" vm="919">
        <f ca="1"/>
        <v>66.650000000000006</v>
      </c>
      <c r="C190" vm="853">
        <f ca="1"/>
        <v>66.099999999999994</v>
      </c>
      <c r="D190" vm="923">
        <f ca="1"/>
        <v>66.984999999999999</v>
      </c>
      <c r="E190" vm="904">
        <f ca="1"/>
        <v>66.040000000000006</v>
      </c>
      <c r="F190" vm="924">
        <f ca="1"/>
        <v>12249240</v>
      </c>
      <c r="G190" s="2">
        <f ca="1">AVERAGE(B184:B190)</f>
        <v>66.22</v>
      </c>
      <c r="H190" s="2">
        <f t="shared" ca="1" si="16"/>
        <v>66.651500000000013</v>
      </c>
      <c r="I190" s="2">
        <f t="shared" ca="1" si="15"/>
        <v>68.274000000000015</v>
      </c>
      <c r="J190">
        <f ca="1">D190-E190</f>
        <v>0.94499999999999318</v>
      </c>
      <c r="K190" s="2">
        <f t="shared" ca="1" si="13"/>
        <v>0.73557500000000076</v>
      </c>
      <c r="L190" s="3">
        <f ca="1">(B190/$B$2)-1</f>
        <v>7.7781371280724487E-2</v>
      </c>
      <c r="M190">
        <f ca="1">_xlfn.STDEV.P(L177:L190)</f>
        <v>5.6304613183209397E-3</v>
      </c>
      <c r="N190">
        <f t="shared" ca="1" si="14"/>
        <v>16598195.35</v>
      </c>
    </row>
    <row r="191" spans="1:14" x14ac:dyDescent="0.25">
      <c r="A191" vm="925">
        <f ca="1"/>
        <v>45936</v>
      </c>
      <c r="B191" vm="853">
        <f ca="1"/>
        <v>66.099999999999994</v>
      </c>
      <c r="C191" vm="873">
        <f ca="1"/>
        <v>66.489999999999995</v>
      </c>
      <c r="D191" vm="926">
        <f ca="1"/>
        <v>66.5</v>
      </c>
      <c r="E191" vm="927">
        <f ca="1"/>
        <v>65.84</v>
      </c>
      <c r="F191" vm="928">
        <f ca="1"/>
        <v>14333320</v>
      </c>
      <c r="G191" s="2">
        <f ca="1">AVERAGE(B185:B191)</f>
        <v>66.237142857142857</v>
      </c>
      <c r="H191" s="2">
        <f t="shared" ca="1" si="16"/>
        <v>66.585000000000008</v>
      </c>
      <c r="I191" s="2">
        <f t="shared" ca="1" si="15"/>
        <v>68.212600000000009</v>
      </c>
      <c r="J191">
        <f ca="1">D191-E191</f>
        <v>0.65999999999999659</v>
      </c>
      <c r="K191" s="2">
        <f t="shared" ca="1" si="13"/>
        <v>0.73257500000000064</v>
      </c>
      <c r="L191" s="3">
        <f ca="1">(B191/$B$2)-1</f>
        <v>6.8887451487710027E-2</v>
      </c>
      <c r="M191">
        <f ca="1">_xlfn.STDEV.P(L178:L191)</f>
        <v>5.7170414910135033E-3</v>
      </c>
      <c r="N191">
        <f t="shared" ca="1" si="14"/>
        <v>16231274</v>
      </c>
    </row>
    <row r="192" spans="1:14" x14ac:dyDescent="0.25">
      <c r="A192" vm="929">
        <f ca="1"/>
        <v>45937</v>
      </c>
      <c r="B192" vm="930">
        <f ca="1"/>
        <v>66.790000000000006</v>
      </c>
      <c r="C192" vm="931">
        <f ca="1"/>
        <v>66.224999999999994</v>
      </c>
      <c r="D192" vm="932">
        <f ca="1"/>
        <v>67.260000000000005</v>
      </c>
      <c r="E192" vm="933">
        <f ca="1"/>
        <v>65.87</v>
      </c>
      <c r="F192" vm="934">
        <f ca="1"/>
        <v>13328270</v>
      </c>
      <c r="G192" s="2">
        <f ca="1">AVERAGE(B186:B192)</f>
        <v>66.397142857142867</v>
      </c>
      <c r="H192" s="2">
        <f t="shared" ca="1" si="16"/>
        <v>66.531499999999994</v>
      </c>
      <c r="I192" s="2">
        <f t="shared" ca="1" si="15"/>
        <v>68.186600000000013</v>
      </c>
      <c r="J192">
        <f ca="1">D192-E192</f>
        <v>1.3900000000000006</v>
      </c>
      <c r="K192" s="2">
        <f t="shared" ca="1" si="13"/>
        <v>0.76082500000000053</v>
      </c>
      <c r="L192" s="3">
        <f ca="1">(B192/$B$2)-1</f>
        <v>8.004527813712814E-2</v>
      </c>
      <c r="M192">
        <f ca="1">_xlfn.STDEV.P(L179:L192)</f>
        <v>5.2298465583433661E-3</v>
      </c>
      <c r="N192">
        <f t="shared" ca="1" si="14"/>
        <v>16191659</v>
      </c>
    </row>
    <row r="193" spans="1:14" x14ac:dyDescent="0.25">
      <c r="A193" vm="935">
        <f ca="1"/>
        <v>45938</v>
      </c>
      <c r="B193" vm="936">
        <f ca="1"/>
        <v>66.12</v>
      </c>
      <c r="C193" vm="937">
        <f ca="1"/>
        <v>66.665000000000006</v>
      </c>
      <c r="D193" vm="158">
        <f ca="1"/>
        <v>66.87</v>
      </c>
      <c r="E193" vm="938">
        <f ca="1"/>
        <v>66.06</v>
      </c>
      <c r="F193" vm="939">
        <f ca="1"/>
        <v>12606677</v>
      </c>
      <c r="G193" s="2">
        <f ca="1">AVERAGE(B187:B193)</f>
        <v>66.408571428571435</v>
      </c>
      <c r="H193" s="2">
        <f t="shared" ca="1" si="16"/>
        <v>66.446499999999986</v>
      </c>
      <c r="I193" s="2">
        <f t="shared" ca="1" si="15"/>
        <v>68.121400000000008</v>
      </c>
      <c r="J193">
        <f ca="1">D193-E193</f>
        <v>0.81000000000000227</v>
      </c>
      <c r="K193" s="2">
        <f t="shared" ca="1" si="13"/>
        <v>0.75755499999999998</v>
      </c>
      <c r="L193" s="3">
        <f ca="1">(B193/$B$2)-1</f>
        <v>6.9210866752910771E-2</v>
      </c>
      <c r="M193">
        <f ca="1">_xlfn.STDEV.P(L180:L193)</f>
        <v>5.2695936691667328E-3</v>
      </c>
      <c r="N193">
        <f t="shared" ca="1" si="14"/>
        <v>16019896.15</v>
      </c>
    </row>
    <row r="194" spans="1:14" x14ac:dyDescent="0.25">
      <c r="A194" vm="940">
        <f ca="1"/>
        <v>45939</v>
      </c>
      <c r="B194" vm="941">
        <f ca="1"/>
        <v>66.37</v>
      </c>
      <c r="C194" vm="915">
        <f ca="1"/>
        <v>66.290000000000006</v>
      </c>
      <c r="D194" vm="868">
        <f ca="1"/>
        <v>66.8</v>
      </c>
      <c r="E194" vm="936">
        <f ca="1"/>
        <v>66.12</v>
      </c>
      <c r="F194" vm="942">
        <f ca="1"/>
        <v>12705190</v>
      </c>
      <c r="G194" s="2">
        <f ca="1">AVERAGE(B188:B194)</f>
        <v>66.415714285714287</v>
      </c>
      <c r="H194" s="2">
        <f t="shared" ca="1" si="16"/>
        <v>66.383999999999986</v>
      </c>
      <c r="I194" s="2">
        <f t="shared" ca="1" si="15"/>
        <v>68.073799999999991</v>
      </c>
      <c r="J194">
        <f ca="1">D194-E194</f>
        <v>0.67999999999999261</v>
      </c>
      <c r="K194" s="2">
        <f t="shared" ca="1" si="13"/>
        <v>0.76230499999999923</v>
      </c>
      <c r="L194" s="3">
        <f ca="1">(B194/$B$2)-1</f>
        <v>7.3253557567917182E-2</v>
      </c>
      <c r="M194">
        <f ca="1">_xlfn.STDEV.P(L181:L194)</f>
        <v>5.2501135086399295E-3</v>
      </c>
      <c r="N194">
        <f t="shared" ca="1" si="14"/>
        <v>15898719.1</v>
      </c>
    </row>
    <row r="195" spans="1:14" x14ac:dyDescent="0.25">
      <c r="A195" vm="943">
        <f ca="1"/>
        <v>45940</v>
      </c>
      <c r="B195" vm="862">
        <f ca="1"/>
        <v>67.040000000000006</v>
      </c>
      <c r="C195" vm="944">
        <f ca="1"/>
        <v>66.52</v>
      </c>
      <c r="D195" vm="945">
        <f ca="1"/>
        <v>67.394999999999996</v>
      </c>
      <c r="E195" vm="946">
        <f ca="1"/>
        <v>66.375</v>
      </c>
      <c r="F195" vm="947">
        <f ca="1"/>
        <v>17991744</v>
      </c>
      <c r="G195" s="2">
        <f ca="1">AVERAGE(B189:B195)</f>
        <v>66.452857142857141</v>
      </c>
      <c r="H195" s="2">
        <f t="shared" ca="1" si="16"/>
        <v>66.385499999999979</v>
      </c>
      <c r="I195" s="2">
        <f t="shared" ca="1" si="15"/>
        <v>68.056799999999996</v>
      </c>
      <c r="J195">
        <f ca="1">D195-E195</f>
        <v>1.019999999999996</v>
      </c>
      <c r="K195" s="2">
        <f t="shared" ca="1" si="13"/>
        <v>0.77430499999999891</v>
      </c>
      <c r="L195" s="3">
        <f ca="1">(B195/$B$2)-1</f>
        <v>8.4087968952134551E-2</v>
      </c>
      <c r="M195">
        <f ca="1">_xlfn.STDEV.P(L182:L195)</f>
        <v>6.0433529746579655E-3</v>
      </c>
      <c r="N195">
        <f t="shared" ca="1" si="14"/>
        <v>15862688.75</v>
      </c>
    </row>
    <row r="196" spans="1:14" x14ac:dyDescent="0.25">
      <c r="A196" vm="948">
        <f ca="1"/>
        <v>45943</v>
      </c>
      <c r="B196" vm="868">
        <f ca="1"/>
        <v>66.8</v>
      </c>
      <c r="C196" vm="357">
        <f ca="1"/>
        <v>66.23</v>
      </c>
      <c r="D196" vm="868">
        <f ca="1"/>
        <v>66.8</v>
      </c>
      <c r="E196" vm="949">
        <f ca="1"/>
        <v>66</v>
      </c>
      <c r="F196" vm="950">
        <f ca="1"/>
        <v>13690029</v>
      </c>
      <c r="G196" s="2">
        <f ca="1">AVERAGE(B190:B196)</f>
        <v>66.55285714285715</v>
      </c>
      <c r="H196" s="2">
        <f t="shared" ca="1" si="16"/>
        <v>66.414999999999992</v>
      </c>
      <c r="I196" s="2">
        <f t="shared" ca="1" si="15"/>
        <v>68.015599999999992</v>
      </c>
      <c r="J196">
        <f ca="1">D196-E196</f>
        <v>0.79999999999999716</v>
      </c>
      <c r="K196" s="2">
        <f t="shared" ca="1" si="13"/>
        <v>0.78030499999999847</v>
      </c>
      <c r="L196" s="3">
        <f ca="1">(B196/$B$2)-1</f>
        <v>8.020698576972829E-2</v>
      </c>
      <c r="M196">
        <f ca="1">_xlfn.STDEV.P(L183:L196)</f>
        <v>6.1498057389389278E-3</v>
      </c>
      <c r="N196">
        <f t="shared" ca="1" si="14"/>
        <v>15747883.6</v>
      </c>
    </row>
    <row r="197" spans="1:14" x14ac:dyDescent="0.25">
      <c r="A197" vm="951">
        <f ca="1"/>
        <v>45944</v>
      </c>
      <c r="B197" vm="952">
        <f ca="1"/>
        <v>67.510000000000005</v>
      </c>
      <c r="C197" vm="158">
        <f ca="1"/>
        <v>66.87</v>
      </c>
      <c r="D197" vm="953">
        <f ca="1"/>
        <v>67.569999999999993</v>
      </c>
      <c r="E197" vm="954">
        <f ca="1"/>
        <v>66.745000000000005</v>
      </c>
      <c r="F197" vm="955">
        <f ca="1"/>
        <v>14245564</v>
      </c>
      <c r="G197" s="2">
        <f ca="1">AVERAGE(B191:B197)</f>
        <v>66.675714285714292</v>
      </c>
      <c r="H197" s="2">
        <f t="shared" ca="1" si="16"/>
        <v>66.478499999999983</v>
      </c>
      <c r="I197" s="2">
        <f t="shared" ca="1" si="15"/>
        <v>67.986599999999996</v>
      </c>
      <c r="J197">
        <f ca="1">D197-E197</f>
        <v>0.82499999999998863</v>
      </c>
      <c r="K197" s="2">
        <f t="shared" ca="1" si="13"/>
        <v>0.79880499999999799</v>
      </c>
      <c r="L197" s="3">
        <f ca="1">(B197/$B$2)-1</f>
        <v>9.1688227684346701E-2</v>
      </c>
      <c r="M197">
        <f ca="1">_xlfn.STDEV.P(L184:L197)</f>
        <v>7.7711480866123808E-3</v>
      </c>
      <c r="N197">
        <f t="shared" ca="1" si="14"/>
        <v>15532366.199999999</v>
      </c>
    </row>
    <row r="198" spans="1:14" x14ac:dyDescent="0.25">
      <c r="A198" vm="956">
        <f ca="1"/>
        <v>45945</v>
      </c>
      <c r="B198" vm="957">
        <f ca="1"/>
        <v>67.08</v>
      </c>
      <c r="C198" vm="958">
        <f ca="1"/>
        <v>67.265000000000001</v>
      </c>
      <c r="D198" vm="959">
        <f ca="1"/>
        <v>67.72</v>
      </c>
      <c r="E198" vm="894">
        <f ca="1"/>
        <v>66.92</v>
      </c>
      <c r="F198" vm="960">
        <f ca="1"/>
        <v>11193715</v>
      </c>
      <c r="G198" s="2">
        <f ca="1">AVERAGE(B192:B198)</f>
        <v>66.815714285714293</v>
      </c>
      <c r="H198" s="2">
        <f t="shared" ca="1" si="16"/>
        <v>66.480499999999978</v>
      </c>
      <c r="I198" s="2">
        <f t="shared" ca="1" si="15"/>
        <v>67.947199999999995</v>
      </c>
      <c r="J198">
        <f ca="1">D198-E198</f>
        <v>0.79999999999999716</v>
      </c>
      <c r="K198" s="2">
        <f t="shared" ca="1" si="13"/>
        <v>0.80255499999999813</v>
      </c>
      <c r="L198" s="3">
        <f ca="1">(B198/$B$2)-1</f>
        <v>8.4734799482535594E-2</v>
      </c>
      <c r="M198">
        <f ca="1">_xlfn.STDEV.P(L185:L198)</f>
        <v>7.8836426749324708E-3</v>
      </c>
      <c r="N198">
        <f t="shared" ca="1" si="14"/>
        <v>15223435.25</v>
      </c>
    </row>
    <row r="199" spans="1:14" x14ac:dyDescent="0.25">
      <c r="A199" vm="961">
        <f ca="1"/>
        <v>45946</v>
      </c>
      <c r="B199" vm="962">
        <f ca="1"/>
        <v>67.59</v>
      </c>
      <c r="C199" vm="963">
        <f ca="1"/>
        <v>67.174999999999997</v>
      </c>
      <c r="D199" vm="831">
        <f ca="1"/>
        <v>68.105000000000004</v>
      </c>
      <c r="E199" vm="827">
        <f ca="1"/>
        <v>67.16</v>
      </c>
      <c r="F199" vm="964">
        <f ca="1"/>
        <v>15707226</v>
      </c>
      <c r="G199" s="2">
        <f ca="1">AVERAGE(B193:B199)</f>
        <v>66.929999999999993</v>
      </c>
      <c r="H199" s="2">
        <f t="shared" ca="1" si="16"/>
        <v>66.536999999999992</v>
      </c>
      <c r="I199" s="2">
        <f t="shared" ca="1" si="15"/>
        <v>67.908799999999999</v>
      </c>
      <c r="J199">
        <f ca="1">D199-E199</f>
        <v>0.94500000000000739</v>
      </c>
      <c r="K199" s="2">
        <f t="shared" ca="1" si="13"/>
        <v>0.81555499999999836</v>
      </c>
      <c r="L199" s="3">
        <f ca="1">(B199/$B$2)-1</f>
        <v>9.2981888745148789E-2</v>
      </c>
      <c r="M199">
        <f ca="1">_xlfn.STDEV.P(L186:L199)</f>
        <v>8.0412785200097356E-3</v>
      </c>
      <c r="N199">
        <f t="shared" ca="1" si="14"/>
        <v>15122650.6</v>
      </c>
    </row>
    <row r="200" spans="1:14" x14ac:dyDescent="0.25">
      <c r="A200" vm="965">
        <f ca="1"/>
        <v>45947</v>
      </c>
      <c r="B200" vm="966">
        <f ca="1"/>
        <v>68.44</v>
      </c>
      <c r="C200" vm="967">
        <f ca="1"/>
        <v>68</v>
      </c>
      <c r="D200" vm="968">
        <f ca="1"/>
        <v>68.495000000000005</v>
      </c>
      <c r="E200" vm="969">
        <f ca="1"/>
        <v>67.8</v>
      </c>
      <c r="F200" vm="970">
        <f ca="1"/>
        <v>15541769</v>
      </c>
      <c r="G200" s="2">
        <f ca="1">AVERAGE(B194:B200)</f>
        <v>67.261428571428567</v>
      </c>
      <c r="H200" s="2">
        <f t="shared" ca="1" si="16"/>
        <v>66.637500000000003</v>
      </c>
      <c r="I200" s="2">
        <f t="shared" ca="1" si="15"/>
        <v>67.869</v>
      </c>
      <c r="J200">
        <f ca="1">D200-E200</f>
        <v>0.69500000000000739</v>
      </c>
      <c r="K200" s="2">
        <f t="shared" ca="1" si="13"/>
        <v>0.81605499999999864</v>
      </c>
      <c r="L200" s="3">
        <f ca="1">(B200/$B$2)-1</f>
        <v>0.10672703751617063</v>
      </c>
      <c r="M200">
        <f ca="1">_xlfn.STDEV.P(L187:L200)</f>
        <v>1.0423872680665022E-2</v>
      </c>
      <c r="N200">
        <f t="shared" ca="1" si="14"/>
        <v>14340096.5</v>
      </c>
    </row>
    <row r="201" spans="1:14" x14ac:dyDescent="0.25">
      <c r="A201" vm="971">
        <f ca="1"/>
        <v>45950</v>
      </c>
      <c r="B201" vm="966">
        <f ca="1"/>
        <v>68.44</v>
      </c>
      <c r="C201" vm="803">
        <f ca="1"/>
        <v>68.424999999999997</v>
      </c>
      <c r="D201" vm="972">
        <f ca="1"/>
        <v>68.64</v>
      </c>
      <c r="E201" vm="367">
        <f ca="1"/>
        <v>67.92</v>
      </c>
      <c r="F201" vm="973">
        <f ca="1"/>
        <v>17786778</v>
      </c>
      <c r="G201" s="2">
        <f ca="1">AVERAGE(B195:B201)</f>
        <v>67.55714285714285</v>
      </c>
      <c r="H201" s="2">
        <f t="shared" ca="1" si="16"/>
        <v>66.748999999999995</v>
      </c>
      <c r="I201" s="2">
        <f t="shared" ca="1" si="15"/>
        <v>67.831000000000003</v>
      </c>
      <c r="J201">
        <f ca="1">D201-E201</f>
        <v>0.71999999999999886</v>
      </c>
      <c r="K201" s="2">
        <f t="shared" ca="1" si="13"/>
        <v>0.82655499999999837</v>
      </c>
      <c r="L201" s="3">
        <f ca="1">(B201/$B$2)-1</f>
        <v>0.10672703751617063</v>
      </c>
      <c r="M201">
        <f ca="1">_xlfn.STDEV.P(L188:L201)</f>
        <v>1.2075690356767392E-2</v>
      </c>
      <c r="N201">
        <f t="shared" ca="1" si="14"/>
        <v>14564498.300000001</v>
      </c>
    </row>
    <row r="202" spans="1:14" x14ac:dyDescent="0.25">
      <c r="A202" vm="974">
        <f ca="1"/>
        <v>45951</v>
      </c>
      <c r="B202" vm="975">
        <f ca="1"/>
        <v>71.22</v>
      </c>
      <c r="C202" vm="976">
        <f ca="1"/>
        <v>70.564999999999998</v>
      </c>
      <c r="D202" vm="977">
        <f ca="1"/>
        <v>71.39</v>
      </c>
      <c r="E202" vm="762">
        <f ca="1"/>
        <v>70.23</v>
      </c>
      <c r="F202" vm="978">
        <f ca="1"/>
        <v>33651302</v>
      </c>
      <c r="G202" s="2">
        <f ca="1">AVERAGE(B196:B202)</f>
        <v>68.15428571428572</v>
      </c>
      <c r="H202" s="2">
        <f t="shared" ca="1" si="16"/>
        <v>66.974500000000006</v>
      </c>
      <c r="I202" s="2">
        <f t="shared" ca="1" si="15"/>
        <v>67.840400000000002</v>
      </c>
      <c r="J202">
        <f ca="1">D202-E202</f>
        <v>1.1599999999999966</v>
      </c>
      <c r="K202" s="2">
        <f t="shared" ca="1" si="13"/>
        <v>0.84155499999999817</v>
      </c>
      <c r="L202" s="3">
        <f ca="1">(B202/$B$2)-1</f>
        <v>0.15168175937904271</v>
      </c>
      <c r="M202">
        <f ca="1">_xlfn.STDEV.P(L189:L202)</f>
        <v>2.1295437281527076E-2</v>
      </c>
      <c r="N202">
        <f t="shared" ca="1" si="14"/>
        <v>15493423.85</v>
      </c>
    </row>
    <row r="203" spans="1:14" x14ac:dyDescent="0.25">
      <c r="A203" vm="979">
        <f ca="1"/>
        <v>45952</v>
      </c>
      <c r="B203" vm="326">
        <f ca="1"/>
        <v>70.81</v>
      </c>
      <c r="C203" vm="544">
        <f ca="1"/>
        <v>71.36</v>
      </c>
      <c r="D203" vm="980">
        <f ca="1"/>
        <v>71.614999999999995</v>
      </c>
      <c r="E203" vm="981">
        <f ca="1"/>
        <v>70.510000000000005</v>
      </c>
      <c r="F203" vm="982">
        <f ca="1"/>
        <v>18292950</v>
      </c>
      <c r="G203" s="2">
        <f ca="1">AVERAGE(B197:B203)</f>
        <v>68.727142857142852</v>
      </c>
      <c r="H203" s="2">
        <f t="shared" ca="1" si="16"/>
        <v>67.192499999999995</v>
      </c>
      <c r="I203" s="2">
        <f t="shared" ca="1" si="15"/>
        <v>67.842400000000012</v>
      </c>
      <c r="J203">
        <f ca="1">D203-E203</f>
        <v>1.1049999999999898</v>
      </c>
      <c r="K203" s="2">
        <f t="shared" ca="1" si="13"/>
        <v>0.85580499999999726</v>
      </c>
      <c r="L203" s="3">
        <f ca="1">(B203/$B$2)-1</f>
        <v>0.14505174644243213</v>
      </c>
      <c r="M203">
        <f ca="1">_xlfn.STDEV.P(L190:L203)</f>
        <v>2.502978356191744E-2</v>
      </c>
      <c r="N203">
        <f t="shared" ca="1" si="14"/>
        <v>15670106.65</v>
      </c>
    </row>
    <row r="204" spans="1:14" x14ac:dyDescent="0.25">
      <c r="A204" vm="983">
        <f ca="1"/>
        <v>45953</v>
      </c>
      <c r="B204" vm="266">
        <f ca="1"/>
        <v>69.94</v>
      </c>
      <c r="C204" vm="326">
        <f ca="1"/>
        <v>70.81</v>
      </c>
      <c r="D204" vm="984">
        <f ca="1"/>
        <v>70.928700000000006</v>
      </c>
      <c r="E204" vm="985">
        <f ca="1"/>
        <v>69.72</v>
      </c>
      <c r="F204" vm="986">
        <f ca="1"/>
        <v>13989414</v>
      </c>
      <c r="G204" s="2">
        <f ca="1">AVERAGE(B198:B204)</f>
        <v>69.074285714285708</v>
      </c>
      <c r="H204" s="2">
        <f t="shared" ca="1" si="16"/>
        <v>67.390500000000003</v>
      </c>
      <c r="I204" s="2">
        <f t="shared" ca="1" si="15"/>
        <v>67.832000000000022</v>
      </c>
      <c r="J204">
        <f ca="1">D204-E204</f>
        <v>1.2087000000000074</v>
      </c>
      <c r="K204" s="2">
        <f t="shared" ca="1" si="13"/>
        <v>0.86773999999999774</v>
      </c>
      <c r="L204" s="3">
        <f ca="1">(B204/$B$2)-1</f>
        <v>0.13098318240620954</v>
      </c>
      <c r="M204">
        <f ca="1">_xlfn.STDEV.P(L191:L204)</f>
        <v>2.6316342487482255E-2</v>
      </c>
      <c r="N204">
        <f t="shared" ca="1" si="14"/>
        <v>15649826.85</v>
      </c>
    </row>
    <row r="205" spans="1:14" x14ac:dyDescent="0.25">
      <c r="A205" vm="987">
        <f ca="1"/>
        <v>45954</v>
      </c>
      <c r="B205" vm="187">
        <f ca="1"/>
        <v>69.709999999999994</v>
      </c>
      <c r="C205" vm="988">
        <f ca="1"/>
        <v>69.91</v>
      </c>
      <c r="D205" vm="773">
        <f ca="1"/>
        <v>70.05</v>
      </c>
      <c r="E205" vm="989">
        <f ca="1"/>
        <v>69.644999999999996</v>
      </c>
      <c r="F205" vm="990">
        <f ca="1"/>
        <v>15688202</v>
      </c>
      <c r="G205" s="2">
        <f ca="1">AVERAGE(B199:B205)</f>
        <v>69.45</v>
      </c>
      <c r="H205" s="2">
        <f t="shared" ca="1" si="16"/>
        <v>67.592500000000001</v>
      </c>
      <c r="I205" s="2">
        <f t="shared" ca="1" si="15"/>
        <v>67.835200000000015</v>
      </c>
      <c r="J205">
        <f ca="1">D205-E205</f>
        <v>0.40500000000000114</v>
      </c>
      <c r="K205" s="2">
        <f t="shared" ca="1" si="13"/>
        <v>0.8462399999999981</v>
      </c>
      <c r="L205" s="3">
        <f ca="1">(B205/$B$2)-1</f>
        <v>0.12726390685640343</v>
      </c>
      <c r="M205">
        <f ca="1">_xlfn.STDEV.P(L192:L205)</f>
        <v>2.6061634115208135E-2</v>
      </c>
      <c r="N205">
        <f t="shared" ca="1" si="14"/>
        <v>15543158.65</v>
      </c>
    </row>
    <row r="206" spans="1:14" x14ac:dyDescent="0.25">
      <c r="A206" vm="991">
        <f ca="1"/>
        <v>45957</v>
      </c>
      <c r="B206" vm="992">
        <f ca="1"/>
        <v>70.06</v>
      </c>
      <c r="C206" vm="993">
        <f ca="1"/>
        <v>69.78</v>
      </c>
      <c r="D206" vm="994">
        <f ca="1"/>
        <v>70.114999999999995</v>
      </c>
      <c r="E206" vm="656">
        <f ca="1"/>
        <v>69.25</v>
      </c>
      <c r="F206" vm="995">
        <f ca="1"/>
        <v>13800049</v>
      </c>
      <c r="G206" s="2">
        <f ca="1">AVERAGE(B200:B206)</f>
        <v>69.802857142857135</v>
      </c>
      <c r="H206" s="2">
        <f t="shared" ca="1" si="16"/>
        <v>67.793500000000009</v>
      </c>
      <c r="I206" s="2">
        <f t="shared" ca="1" si="15"/>
        <v>67.838000000000008</v>
      </c>
      <c r="J206">
        <f ca="1">D206-E206</f>
        <v>0.86499999999999488</v>
      </c>
      <c r="K206" s="2">
        <f t="shared" ca="1" si="13"/>
        <v>0.85217999999999849</v>
      </c>
      <c r="L206" s="3">
        <f ca="1">(B206/$B$2)-1</f>
        <v>0.13292367399741267</v>
      </c>
      <c r="M206">
        <f ca="1">_xlfn.STDEV.P(L193:L206)</f>
        <v>2.6469406869373043E-2</v>
      </c>
      <c r="N206">
        <f t="shared" ca="1" si="14"/>
        <v>15492234.550000001</v>
      </c>
    </row>
    <row r="207" spans="1:14" x14ac:dyDescent="0.25">
      <c r="A207" vm="996">
        <f ca="1"/>
        <v>45958</v>
      </c>
      <c r="B207" vm="645">
        <f ca="1"/>
        <v>70.16</v>
      </c>
      <c r="C207" vm="997">
        <f ca="1"/>
        <v>70.045000000000002</v>
      </c>
      <c r="D207" vm="629">
        <f ca="1"/>
        <v>70.900000000000006</v>
      </c>
      <c r="E207" vm="366">
        <f ca="1"/>
        <v>69.95</v>
      </c>
      <c r="F207" vm="998">
        <f ca="1"/>
        <v>12730493</v>
      </c>
      <c r="G207" s="2">
        <f ca="1">AVERAGE(B201:B207)</f>
        <v>70.048571428571421</v>
      </c>
      <c r="H207" s="2">
        <f t="shared" ca="1" si="16"/>
        <v>67.985500000000016</v>
      </c>
      <c r="I207" s="2">
        <f t="shared" ca="1" si="15"/>
        <v>67.858599999999996</v>
      </c>
      <c r="J207">
        <f ca="1">D207-E207</f>
        <v>0.95000000000000284</v>
      </c>
      <c r="K207" s="2">
        <f t="shared" ca="1" si="13"/>
        <v>0.86568499999999848</v>
      </c>
      <c r="L207" s="3">
        <f ca="1">(B207/$B$2)-1</f>
        <v>0.13454075032341506</v>
      </c>
      <c r="M207">
        <f ca="1">_xlfn.STDEV.P(L194:L207)</f>
        <v>2.5390581196194927E-2</v>
      </c>
      <c r="N207">
        <f t="shared" ca="1" si="14"/>
        <v>15438009.6</v>
      </c>
    </row>
    <row r="208" spans="1:14" x14ac:dyDescent="0.25">
      <c r="A208" vm="999">
        <f ca="1"/>
        <v>45959</v>
      </c>
      <c r="B208" vm="1000">
        <f ca="1"/>
        <v>68.349999999999994</v>
      </c>
      <c r="C208" vm="617">
        <f ca="1"/>
        <v>69.92</v>
      </c>
      <c r="D208" vm="170">
        <f ca="1"/>
        <v>70.03</v>
      </c>
      <c r="E208" vm="1001">
        <f ca="1"/>
        <v>68.155000000000001</v>
      </c>
      <c r="F208" vm="1002">
        <f ca="1"/>
        <v>19789610</v>
      </c>
      <c r="G208" s="2">
        <f ca="1">AVERAGE(B202:B208)</f>
        <v>70.035714285714292</v>
      </c>
      <c r="H208" s="2">
        <f t="shared" ca="1" si="16"/>
        <v>68.064000000000007</v>
      </c>
      <c r="I208" s="2">
        <f t="shared" ca="1" si="15"/>
        <v>67.823000000000008</v>
      </c>
      <c r="J208">
        <f ca="1">D208-E208</f>
        <v>1.875</v>
      </c>
      <c r="K208" s="2">
        <f t="shared" ca="1" si="13"/>
        <v>0.93243499999999879</v>
      </c>
      <c r="L208" s="3">
        <f ca="1">(B208/$B$2)-1</f>
        <v>0.10527166882276817</v>
      </c>
      <c r="M208">
        <f ca="1">_xlfn.STDEV.P(L195:L208)</f>
        <v>2.3316648733510321E-2</v>
      </c>
      <c r="N208">
        <f t="shared" ca="1" si="14"/>
        <v>15683613.199999999</v>
      </c>
    </row>
    <row r="209" spans="1:14" x14ac:dyDescent="0.25">
      <c r="A209" vm="1003">
        <f ca="1"/>
        <v>45960</v>
      </c>
      <c r="B209" vm="374">
        <f ca="1"/>
        <v>68.98</v>
      </c>
      <c r="C209" vm="1004">
        <f ca="1"/>
        <v>68.45</v>
      </c>
      <c r="D209" vm="649">
        <f ca="1"/>
        <v>69.290000000000006</v>
      </c>
      <c r="E209" vm="1005">
        <f ca="1"/>
        <v>68.387200000000007</v>
      </c>
      <c r="F209" vm="1006">
        <f ca="1"/>
        <v>14751735</v>
      </c>
      <c r="G209" s="2">
        <f ca="1">AVERAGE(B203:B209)</f>
        <v>69.715714285714284</v>
      </c>
      <c r="H209" s="2">
        <f t="shared" ca="1" si="16"/>
        <v>68.208000000000013</v>
      </c>
      <c r="I209" s="2">
        <f t="shared" ca="1" si="15"/>
        <v>67.788600000000002</v>
      </c>
      <c r="J209">
        <f ca="1">D209-E209</f>
        <v>0.90279999999999916</v>
      </c>
      <c r="K209" s="2">
        <f t="shared" ca="1" si="13"/>
        <v>0.93807499999999844</v>
      </c>
      <c r="L209" s="3">
        <f ca="1">(B209/$B$2)-1</f>
        <v>0.11545924967658472</v>
      </c>
      <c r="M209">
        <f ca="1">_xlfn.STDEV.P(L196:L209)</f>
        <v>2.1946561700359999E-2</v>
      </c>
      <c r="N209">
        <f t="shared" ca="1" si="14"/>
        <v>15703663.85</v>
      </c>
    </row>
    <row r="210" spans="1:14" x14ac:dyDescent="0.25">
      <c r="A210" vm="1007">
        <f ca="1"/>
        <v>45961</v>
      </c>
      <c r="B210" vm="319">
        <f ca="1"/>
        <v>68.900000000000006</v>
      </c>
      <c r="C210" vm="1008">
        <f ca="1"/>
        <v>68.545000000000002</v>
      </c>
      <c r="D210" vm="1009">
        <f ca="1"/>
        <v>69.069999999999993</v>
      </c>
      <c r="E210" vm="1010">
        <f ca="1"/>
        <v>67.900099999999995</v>
      </c>
      <c r="F210" vm="1011">
        <f ca="1"/>
        <v>16742681</v>
      </c>
      <c r="G210" s="2">
        <f ca="1">AVERAGE(B204:B210)</f>
        <v>69.44285714285715</v>
      </c>
      <c r="H210" s="2">
        <f t="shared" ca="1" si="16"/>
        <v>68.32050000000001</v>
      </c>
      <c r="I210" s="2">
        <f t="shared" ca="1" si="15"/>
        <v>67.753400000000013</v>
      </c>
      <c r="J210">
        <f ca="1">D210-E210</f>
        <v>1.1698999999999984</v>
      </c>
      <c r="K210" s="2">
        <f t="shared" ca="1" si="13"/>
        <v>0.94931999999999872</v>
      </c>
      <c r="L210" s="3">
        <f ca="1">(B210/$B$2)-1</f>
        <v>0.11416558861578263</v>
      </c>
      <c r="M210">
        <f ca="1">_xlfn.STDEV.P(L197:L210)</f>
        <v>1.9764913434983811E-2</v>
      </c>
      <c r="N210">
        <f t="shared" ca="1" si="14"/>
        <v>15928335.9</v>
      </c>
    </row>
    <row r="211" spans="1:14" x14ac:dyDescent="0.25">
      <c r="A211" vm="1012">
        <f ca="1"/>
        <v>45964</v>
      </c>
      <c r="B211" vm="1013">
        <f ca="1"/>
        <v>67.97</v>
      </c>
      <c r="C211" vm="308">
        <f ca="1"/>
        <v>68.8</v>
      </c>
      <c r="D211" vm="1014">
        <f ca="1"/>
        <v>68.89</v>
      </c>
      <c r="E211" vm="1015">
        <f ca="1"/>
        <v>67.66</v>
      </c>
      <c r="F211" vm="1016">
        <f ca="1"/>
        <v>15660354</v>
      </c>
      <c r="G211" s="2">
        <f ca="1">AVERAGE(B205:B211)</f>
        <v>69.161428571428573</v>
      </c>
      <c r="H211" s="2">
        <f t="shared" ca="1" si="16"/>
        <v>68.414000000000016</v>
      </c>
      <c r="I211" s="2">
        <f t="shared" ref="I211:I216" ca="1" si="17">AVERAGE(B162:B211)</f>
        <v>67.7102</v>
      </c>
      <c r="J211">
        <f ca="1">D211-E211</f>
        <v>1.230000000000004</v>
      </c>
      <c r="K211" s="2">
        <f t="shared" ca="1" si="13"/>
        <v>0.97781999999999913</v>
      </c>
      <c r="L211" s="3">
        <f ca="1">(B211/$B$2)-1</f>
        <v>9.912677878395848E-2</v>
      </c>
      <c r="M211">
        <f ca="1">_xlfn.STDEV.P(L198:L211)</f>
        <v>1.9163955737632622E-2</v>
      </c>
      <c r="N211">
        <f t="shared" ca="1" si="14"/>
        <v>15994687.6</v>
      </c>
    </row>
    <row r="212" spans="1:14" x14ac:dyDescent="0.25">
      <c r="A212" vm="1017">
        <f ca="1"/>
        <v>45965</v>
      </c>
      <c r="B212" vm="810">
        <f ca="1"/>
        <v>68.66</v>
      </c>
      <c r="C212" vm="1018">
        <f ca="1"/>
        <v>68.47</v>
      </c>
      <c r="D212" vm="791">
        <f ca="1"/>
        <v>68.73</v>
      </c>
      <c r="E212" vm="1019">
        <f ca="1"/>
        <v>68.16</v>
      </c>
      <c r="F212" vm="1020">
        <f ca="1"/>
        <v>12743781</v>
      </c>
      <c r="G212" s="2">
        <f ca="1">AVERAGE(B206:B212)</f>
        <v>69.011428571428581</v>
      </c>
      <c r="H212" s="2">
        <f t="shared" ca="1" si="16"/>
        <v>68.507500000000022</v>
      </c>
      <c r="I212" s="2">
        <f t="shared" ca="1" si="17"/>
        <v>67.704800000000006</v>
      </c>
      <c r="J212">
        <f ca="1">D212-E212</f>
        <v>0.57000000000000739</v>
      </c>
      <c r="K212" s="2">
        <f t="shared" ca="1" si="13"/>
        <v>0.93681999999999943</v>
      </c>
      <c r="L212" s="3">
        <f ca="1">(B212/$B$2)-1</f>
        <v>0.11028460543337637</v>
      </c>
      <c r="M212">
        <f ca="1">_xlfn.STDEV.P(L199:L212)</f>
        <v>1.7037445688361363E-2</v>
      </c>
      <c r="N212">
        <f t="shared" ca="1" si="14"/>
        <v>15965463.15</v>
      </c>
    </row>
    <row r="213" spans="1:14" x14ac:dyDescent="0.25">
      <c r="A213" vm="1021">
        <f ca="1"/>
        <v>45966</v>
      </c>
      <c r="B213" vm="277">
        <f ca="1"/>
        <v>68.510000000000005</v>
      </c>
      <c r="C213" vm="810">
        <f ca="1"/>
        <v>68.66</v>
      </c>
      <c r="D213" vm="795">
        <f ca="1"/>
        <v>68.83</v>
      </c>
      <c r="E213" vm="1022">
        <f ca="1"/>
        <v>68.174999999999997</v>
      </c>
      <c r="F213" vm="1023">
        <f ca="1"/>
        <v>12850125</v>
      </c>
      <c r="G213" s="2">
        <f ca="1">AVERAGE(B207:B213)</f>
        <v>68.789999999999992</v>
      </c>
      <c r="H213" s="2">
        <f t="shared" ref="H213:H216" ca="1" si="18">AVERAGE(B194:B213)</f>
        <v>68.62700000000001</v>
      </c>
      <c r="I213" s="2">
        <f t="shared" ca="1" si="17"/>
        <v>67.700400000000002</v>
      </c>
      <c r="J213">
        <f ca="1">D213-E213</f>
        <v>0.65500000000000114</v>
      </c>
      <c r="K213" s="2">
        <f t="shared" ca="1" si="13"/>
        <v>0.9290699999999994</v>
      </c>
      <c r="L213" s="3">
        <f ca="1">(B213/$B$2)-1</f>
        <v>0.10785899094437257</v>
      </c>
      <c r="M213">
        <f ca="1">_xlfn.STDEV.P(L200:L213)</f>
        <v>1.5766003378490004E-2</v>
      </c>
      <c r="N213">
        <f t="shared" ca="1" si="14"/>
        <v>15977635.550000001</v>
      </c>
    </row>
    <row r="214" spans="1:14" x14ac:dyDescent="0.25">
      <c r="A214" vm="1024">
        <f ca="1"/>
        <v>45967</v>
      </c>
      <c r="B214" vm="806">
        <f ca="1"/>
        <v>69.06</v>
      </c>
      <c r="C214" vm="1025">
        <f ca="1"/>
        <v>68.3</v>
      </c>
      <c r="D214" vm="1026">
        <f ca="1"/>
        <v>69.135000000000005</v>
      </c>
      <c r="E214" vm="367">
        <f ca="1"/>
        <v>67.92</v>
      </c>
      <c r="F214" vm="1027">
        <f ca="1"/>
        <v>15906651</v>
      </c>
      <c r="G214" s="2">
        <f ca="1">AVERAGE(B208:B214)</f>
        <v>68.632857142857148</v>
      </c>
      <c r="H214" s="2">
        <f t="shared" ca="1" si="18"/>
        <v>68.761500000000012</v>
      </c>
      <c r="I214" s="2">
        <f t="shared" ca="1" si="17"/>
        <v>67.704999999999998</v>
      </c>
      <c r="J214">
        <f ca="1">D214-E214</f>
        <v>1.2150000000000034</v>
      </c>
      <c r="K214" s="2">
        <f t="shared" ref="K214:K216" ca="1" si="19">AVERAGE(J195:J214)</f>
        <v>0.95581999999999989</v>
      </c>
      <c r="L214" s="3">
        <f ca="1">(B214/$B$2)-1</f>
        <v>0.11675291073738681</v>
      </c>
      <c r="M214">
        <f ca="1">_xlfn.STDEV.P(L201:L214)</f>
        <v>1.5342693996939665E-2</v>
      </c>
      <c r="N214">
        <f t="shared" ref="N214:N217" ca="1" si="20">AVERAGE(F195:F214)</f>
        <v>16137708.6</v>
      </c>
    </row>
    <row r="215" spans="1:14" x14ac:dyDescent="0.25">
      <c r="A215" vm="1028">
        <f ca="1"/>
        <v>45968</v>
      </c>
      <c r="B215" vm="1029">
        <f ca="1"/>
        <v>70.55</v>
      </c>
      <c r="C215" vm="298">
        <f ca="1"/>
        <v>69.81</v>
      </c>
      <c r="D215" vm="214">
        <f ca="1"/>
        <v>70.87</v>
      </c>
      <c r="E215" vm="1030">
        <f ca="1"/>
        <v>69.41</v>
      </c>
      <c r="F215" vm="1031">
        <f ca="1"/>
        <v>25108308</v>
      </c>
      <c r="G215" s="2">
        <f ca="1">AVERAGE(B209:B215)</f>
        <v>68.94714285714285</v>
      </c>
      <c r="H215" s="2">
        <f t="shared" ca="1" si="18"/>
        <v>68.937000000000012</v>
      </c>
      <c r="I215" s="2">
        <f t="shared" ca="1" si="17"/>
        <v>67.748800000000003</v>
      </c>
      <c r="J215">
        <f ca="1">D215-E215</f>
        <v>1.460000000000008</v>
      </c>
      <c r="K215" s="2">
        <f t="shared" ca="1" si="19"/>
        <v>0.97782000000000058</v>
      </c>
      <c r="L215" s="3">
        <f ca="1">(B215/$B$2)-1</f>
        <v>0.14084734799482534</v>
      </c>
      <c r="M215">
        <f ca="1">_xlfn.STDEV.P(L202:L215)</f>
        <v>1.5544115875022571E-2</v>
      </c>
      <c r="N215">
        <f t="shared" ca="1" si="20"/>
        <v>16493536.800000001</v>
      </c>
    </row>
    <row r="216" spans="1:14" x14ac:dyDescent="0.25">
      <c r="A216" vm="1032">
        <f ca="1"/>
        <v>45971</v>
      </c>
      <c r="B216" vm="476">
        <f ca="1"/>
        <v>70.52</v>
      </c>
      <c r="C216" vm="1033">
        <f ca="1"/>
        <v>70.010000000000005</v>
      </c>
      <c r="D216" vm="782">
        <f ca="1"/>
        <v>70.66</v>
      </c>
      <c r="E216" vm="1034">
        <f ca="1"/>
        <v>69.44</v>
      </c>
      <c r="F216" vm="1035">
        <f ca="1"/>
        <v>15317986</v>
      </c>
      <c r="G216" s="2">
        <f ca="1">AVERAGE(B210:B216)</f>
        <v>69.167142857142863</v>
      </c>
      <c r="H216" s="2">
        <f t="shared" ca="1" si="18"/>
        <v>69.12299999999999</v>
      </c>
      <c r="I216" s="2">
        <f t="shared" ca="1" si="17"/>
        <v>67.779399999999995</v>
      </c>
      <c r="J216">
        <f ca="1">D216-E216</f>
        <v>1.2199999999999989</v>
      </c>
      <c r="K216" s="2">
        <f t="shared" ca="1" si="19"/>
        <v>0.9988200000000006</v>
      </c>
      <c r="L216" s="3">
        <f ca="1">(B216/$B$2)-1</f>
        <v>0.14036222509702445</v>
      </c>
      <c r="M216">
        <f ca="1">_xlfn.STDEV.P(L203:L216)</f>
        <v>1.4314923889166076E-2</v>
      </c>
      <c r="N216">
        <f t="shared" ca="1" si="20"/>
        <v>16574934.65</v>
      </c>
    </row>
    <row r="217" spans="1:14" x14ac:dyDescent="0.25">
      <c r="A217" vm="1036">
        <f ca="1"/>
        <v>45972</v>
      </c>
      <c r="B217" vm="494">
        <f ca="1"/>
        <v>71.61</v>
      </c>
      <c r="C217" vm="1037">
        <f ca="1"/>
        <v>70.98</v>
      </c>
      <c r="D217" vm="1038">
        <f ca="1"/>
        <v>71.75</v>
      </c>
      <c r="E217" vm="782">
        <f ca="1"/>
        <v>70.66</v>
      </c>
      <c r="F217" vm="1039">
        <f ca="1"/>
        <v>16160212</v>
      </c>
      <c r="G217" s="2">
        <f ca="1">AVERAGE(B211:B217)</f>
        <v>69.554285714285712</v>
      </c>
      <c r="M217">
        <f ca="1">_xlfn.STDEV.P(L204:L217)</f>
        <v>1.3420390390269118E-2</v>
      </c>
      <c r="N217">
        <f t="shared" ca="1" si="20"/>
        <v>16670667.050000001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91A0-7DDB-4522-9121-4A8208A3F2CB}">
  <dimension ref="A1"/>
  <sheetViews>
    <sheetView workbookViewId="0">
      <selection activeCell="J32" sqref="J3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A0B80-5930-489D-BE0D-CDE8EE2D929B}">
  <dimension ref="A1:L418"/>
  <sheetViews>
    <sheetView workbookViewId="0">
      <selection activeCell="H1" sqref="H1:L1048576"/>
    </sheetView>
  </sheetViews>
  <sheetFormatPr defaultRowHeight="15" x14ac:dyDescent="0.25"/>
  <cols>
    <col min="8" max="9" width="9.140625" style="2"/>
    <col min="10" max="10" width="17.28515625" style="3" bestFit="1" customWidth="1"/>
    <col min="11" max="11" width="8.7109375" bestFit="1" customWidth="1"/>
    <col min="12" max="12" width="14.28515625" style="3" bestFit="1" customWidth="1"/>
  </cols>
  <sheetData>
    <row r="1" spans="1:12" ht="15.75" thickBot="1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76</v>
      </c>
      <c r="H1" s="5" t="s">
        <v>0</v>
      </c>
      <c r="I1" s="5" t="s">
        <v>1</v>
      </c>
      <c r="J1" s="6" t="s">
        <v>2</v>
      </c>
      <c r="K1" s="4" t="s">
        <v>3</v>
      </c>
      <c r="L1" s="4" t="s">
        <v>4</v>
      </c>
    </row>
    <row r="2" spans="1:12" ht="15.75" thickTop="1" x14ac:dyDescent="0.25">
      <c r="A2" s="1">
        <v>45659</v>
      </c>
      <c r="B2">
        <v>93.9</v>
      </c>
      <c r="C2">
        <v>93.82</v>
      </c>
      <c r="D2">
        <v>93.9</v>
      </c>
      <c r="E2">
        <v>93.52</v>
      </c>
      <c r="F2" t="s">
        <v>31</v>
      </c>
      <c r="G2" s="7">
        <v>6.9999999999999999E-4</v>
      </c>
      <c r="J2" s="3">
        <f>(B2/$B$2)-1</f>
        <v>0</v>
      </c>
      <c r="K2" s="2">
        <f>D2-E2</f>
        <v>0.38000000000000966</v>
      </c>
    </row>
    <row r="3" spans="1:12" x14ac:dyDescent="0.25">
      <c r="A3" s="1">
        <v>45660</v>
      </c>
      <c r="B3">
        <v>93.5</v>
      </c>
      <c r="C3">
        <v>93.89</v>
      </c>
      <c r="D3">
        <v>93.89</v>
      </c>
      <c r="E3">
        <v>93.15</v>
      </c>
      <c r="F3" t="s">
        <v>52</v>
      </c>
      <c r="G3" s="7">
        <v>-4.3E-3</v>
      </c>
      <c r="J3" s="3">
        <f t="shared" ref="J3:J66" si="0">(B3/$B$2)-1</f>
        <v>-4.2598509052184097E-3</v>
      </c>
      <c r="K3" s="2">
        <f t="shared" ref="K3:K66" si="1">D3-E3</f>
        <v>0.73999999999999488</v>
      </c>
    </row>
    <row r="4" spans="1:12" x14ac:dyDescent="0.25">
      <c r="A4" s="1">
        <v>45663</v>
      </c>
      <c r="B4">
        <v>93.69</v>
      </c>
      <c r="C4">
        <v>93.7</v>
      </c>
      <c r="D4">
        <v>93.7</v>
      </c>
      <c r="E4">
        <v>93.2</v>
      </c>
      <c r="F4" t="s">
        <v>67</v>
      </c>
      <c r="G4" s="7">
        <v>2E-3</v>
      </c>
      <c r="J4" s="3">
        <f t="shared" si="0"/>
        <v>-2.2364217252397456E-3</v>
      </c>
      <c r="K4" s="2">
        <f t="shared" si="1"/>
        <v>0.5</v>
      </c>
    </row>
    <row r="5" spans="1:12" x14ac:dyDescent="0.25">
      <c r="A5" s="1">
        <v>45664</v>
      </c>
      <c r="B5">
        <v>93.5</v>
      </c>
      <c r="C5">
        <v>93.35</v>
      </c>
      <c r="D5">
        <v>93.65</v>
      </c>
      <c r="E5">
        <v>93.3</v>
      </c>
      <c r="F5" t="s">
        <v>47</v>
      </c>
      <c r="G5" s="7">
        <v>-2E-3</v>
      </c>
      <c r="J5" s="3">
        <f t="shared" si="0"/>
        <v>-4.2598509052184097E-3</v>
      </c>
      <c r="K5" s="2">
        <f t="shared" si="1"/>
        <v>0.35000000000000853</v>
      </c>
    </row>
    <row r="6" spans="1:12" x14ac:dyDescent="0.25">
      <c r="A6" s="1">
        <v>45665</v>
      </c>
      <c r="B6">
        <v>93.7</v>
      </c>
      <c r="C6">
        <v>93.5</v>
      </c>
      <c r="D6">
        <v>93.7</v>
      </c>
      <c r="E6">
        <v>93.4</v>
      </c>
      <c r="F6" t="s">
        <v>77</v>
      </c>
      <c r="G6" s="7">
        <v>2.0999999999999999E-3</v>
      </c>
      <c r="J6" s="3">
        <f t="shared" si="0"/>
        <v>-2.1299254526091493E-3</v>
      </c>
      <c r="K6" s="2">
        <f t="shared" si="1"/>
        <v>0.29999999999999716</v>
      </c>
    </row>
    <row r="7" spans="1:12" x14ac:dyDescent="0.25">
      <c r="A7" s="1">
        <v>45666</v>
      </c>
      <c r="B7">
        <v>93.99</v>
      </c>
      <c r="C7">
        <v>93.4</v>
      </c>
      <c r="D7">
        <v>94</v>
      </c>
      <c r="E7">
        <v>93.4</v>
      </c>
      <c r="F7" t="s">
        <v>78</v>
      </c>
      <c r="G7" s="7">
        <v>3.0999999999999999E-3</v>
      </c>
      <c r="J7" s="3">
        <f t="shared" si="0"/>
        <v>9.5846645367392291E-4</v>
      </c>
      <c r="K7" s="2">
        <f t="shared" si="1"/>
        <v>0.59999999999999432</v>
      </c>
    </row>
    <row r="8" spans="1:12" x14ac:dyDescent="0.25">
      <c r="A8" s="1">
        <v>45667</v>
      </c>
      <c r="B8">
        <v>93.99</v>
      </c>
      <c r="C8">
        <v>93.99</v>
      </c>
      <c r="D8">
        <v>93.99</v>
      </c>
      <c r="E8">
        <v>93.7</v>
      </c>
      <c r="F8" t="s">
        <v>57</v>
      </c>
      <c r="G8" s="7">
        <v>0</v>
      </c>
      <c r="J8" s="3">
        <f t="shared" si="0"/>
        <v>9.5846645367392291E-4</v>
      </c>
      <c r="K8" s="2">
        <f t="shared" si="1"/>
        <v>0.28999999999999204</v>
      </c>
    </row>
    <row r="9" spans="1:12" x14ac:dyDescent="0.25">
      <c r="A9" s="1">
        <v>45670</v>
      </c>
      <c r="B9">
        <v>94</v>
      </c>
      <c r="C9">
        <v>93.99</v>
      </c>
      <c r="D9">
        <v>94.49</v>
      </c>
      <c r="E9">
        <v>93.7</v>
      </c>
      <c r="F9" t="s">
        <v>79</v>
      </c>
      <c r="G9" s="7">
        <v>1E-4</v>
      </c>
      <c r="J9" s="3">
        <f t="shared" si="0"/>
        <v>1.0649627263044081E-3</v>
      </c>
      <c r="K9" s="2">
        <f t="shared" si="1"/>
        <v>0.78999999999999204</v>
      </c>
    </row>
    <row r="10" spans="1:12" x14ac:dyDescent="0.25">
      <c r="A10" s="1">
        <v>45671</v>
      </c>
      <c r="B10">
        <v>94.99</v>
      </c>
      <c r="C10">
        <v>93.81</v>
      </c>
      <c r="D10">
        <v>95.9</v>
      </c>
      <c r="E10">
        <v>93.81</v>
      </c>
      <c r="F10" t="s">
        <v>66</v>
      </c>
      <c r="G10" s="7">
        <v>1.0500000000000001E-2</v>
      </c>
      <c r="J10" s="3">
        <f t="shared" si="0"/>
        <v>1.1608093716719781E-2</v>
      </c>
      <c r="K10" s="2">
        <f t="shared" si="1"/>
        <v>2.0900000000000034</v>
      </c>
    </row>
    <row r="11" spans="1:12" x14ac:dyDescent="0.25">
      <c r="A11" s="1">
        <v>45672</v>
      </c>
      <c r="B11">
        <v>97</v>
      </c>
      <c r="C11">
        <v>94.98</v>
      </c>
      <c r="D11">
        <v>97</v>
      </c>
      <c r="E11">
        <v>94.2</v>
      </c>
      <c r="F11" t="s">
        <v>64</v>
      </c>
      <c r="G11" s="7">
        <v>2.12E-2</v>
      </c>
      <c r="J11" s="3">
        <f t="shared" si="0"/>
        <v>3.3013844515441981E-2</v>
      </c>
      <c r="K11" s="2">
        <f t="shared" si="1"/>
        <v>2.7999999999999972</v>
      </c>
    </row>
    <row r="12" spans="1:12" x14ac:dyDescent="0.25">
      <c r="A12" s="1">
        <v>45673</v>
      </c>
      <c r="B12">
        <v>96.85</v>
      </c>
      <c r="C12">
        <v>95.6</v>
      </c>
      <c r="D12">
        <v>97</v>
      </c>
      <c r="E12">
        <v>95.05</v>
      </c>
      <c r="F12" t="s">
        <v>80</v>
      </c>
      <c r="G12" s="7">
        <v>-1.5E-3</v>
      </c>
      <c r="J12" s="3">
        <f t="shared" si="0"/>
        <v>3.1416400425984925E-2</v>
      </c>
      <c r="K12" s="2">
        <f t="shared" si="1"/>
        <v>1.9500000000000028</v>
      </c>
    </row>
    <row r="13" spans="1:12" x14ac:dyDescent="0.25">
      <c r="A13" s="1">
        <v>45674</v>
      </c>
      <c r="B13">
        <v>96.5</v>
      </c>
      <c r="C13">
        <v>96.85</v>
      </c>
      <c r="D13">
        <v>96.85</v>
      </c>
      <c r="E13">
        <v>95.37</v>
      </c>
      <c r="F13" t="s">
        <v>18</v>
      </c>
      <c r="G13" s="7">
        <v>-3.5999999999999999E-3</v>
      </c>
      <c r="J13" s="3">
        <f t="shared" si="0"/>
        <v>2.7689030883919052E-2</v>
      </c>
      <c r="K13" s="2">
        <f t="shared" si="1"/>
        <v>1.4799999999999898</v>
      </c>
    </row>
    <row r="14" spans="1:12" x14ac:dyDescent="0.25">
      <c r="A14" s="1">
        <v>45677</v>
      </c>
      <c r="B14">
        <v>96.5</v>
      </c>
      <c r="C14">
        <v>96</v>
      </c>
      <c r="D14">
        <v>96.5</v>
      </c>
      <c r="E14">
        <v>95.4</v>
      </c>
      <c r="F14" t="s">
        <v>81</v>
      </c>
      <c r="G14" s="7">
        <v>0</v>
      </c>
      <c r="J14" s="3">
        <f t="shared" si="0"/>
        <v>2.7689030883919052E-2</v>
      </c>
      <c r="K14" s="2">
        <f t="shared" si="1"/>
        <v>1.0999999999999943</v>
      </c>
    </row>
    <row r="15" spans="1:12" x14ac:dyDescent="0.25">
      <c r="A15" s="1">
        <v>45678</v>
      </c>
      <c r="B15">
        <v>97</v>
      </c>
      <c r="C15">
        <v>95.61</v>
      </c>
      <c r="D15">
        <v>97</v>
      </c>
      <c r="E15">
        <v>95.61</v>
      </c>
      <c r="F15" t="s">
        <v>75</v>
      </c>
      <c r="G15" s="7">
        <v>5.1999999999999998E-3</v>
      </c>
      <c r="J15" s="3">
        <f t="shared" si="0"/>
        <v>3.3013844515441981E-2</v>
      </c>
      <c r="K15" s="2">
        <f t="shared" si="1"/>
        <v>1.3900000000000006</v>
      </c>
    </row>
    <row r="16" spans="1:12" x14ac:dyDescent="0.25">
      <c r="A16" s="1">
        <v>45679</v>
      </c>
      <c r="B16">
        <v>96.8</v>
      </c>
      <c r="C16">
        <v>97</v>
      </c>
      <c r="D16">
        <v>97.2</v>
      </c>
      <c r="E16">
        <v>96.55</v>
      </c>
      <c r="F16" t="s">
        <v>53</v>
      </c>
      <c r="G16" s="7">
        <v>-2.0999999999999999E-3</v>
      </c>
      <c r="J16" s="3">
        <f t="shared" si="0"/>
        <v>3.0883919062832721E-2</v>
      </c>
      <c r="K16" s="2">
        <f t="shared" si="1"/>
        <v>0.65000000000000568</v>
      </c>
    </row>
    <row r="17" spans="1:12" x14ac:dyDescent="0.25">
      <c r="A17" s="1">
        <v>45680</v>
      </c>
      <c r="B17">
        <v>98.4</v>
      </c>
      <c r="C17">
        <v>97</v>
      </c>
      <c r="D17">
        <v>98.45</v>
      </c>
      <c r="E17">
        <v>96.7</v>
      </c>
      <c r="F17" t="s">
        <v>82</v>
      </c>
      <c r="G17" s="7">
        <v>1.6500000000000001E-2</v>
      </c>
      <c r="J17" s="3">
        <f t="shared" si="0"/>
        <v>4.7923322683706138E-2</v>
      </c>
      <c r="K17" s="2">
        <f t="shared" si="1"/>
        <v>1.75</v>
      </c>
    </row>
    <row r="18" spans="1:12" x14ac:dyDescent="0.25">
      <c r="A18" s="1">
        <v>45681</v>
      </c>
      <c r="B18">
        <v>98.9</v>
      </c>
      <c r="C18">
        <v>98</v>
      </c>
      <c r="D18">
        <v>99.5</v>
      </c>
      <c r="E18">
        <v>96.8</v>
      </c>
      <c r="F18" t="s">
        <v>83</v>
      </c>
      <c r="G18" s="7">
        <v>5.1000000000000004E-3</v>
      </c>
      <c r="J18" s="3">
        <f t="shared" si="0"/>
        <v>5.3248136315229067E-2</v>
      </c>
      <c r="K18" s="2">
        <f t="shared" si="1"/>
        <v>2.7000000000000028</v>
      </c>
    </row>
    <row r="19" spans="1:12" x14ac:dyDescent="0.25">
      <c r="A19" s="1">
        <v>45684</v>
      </c>
      <c r="B19">
        <v>98</v>
      </c>
      <c r="C19">
        <v>98.9</v>
      </c>
      <c r="D19">
        <v>98.9</v>
      </c>
      <c r="E19">
        <v>97.5</v>
      </c>
      <c r="F19" t="s">
        <v>84</v>
      </c>
      <c r="G19" s="7">
        <v>-9.1000000000000004E-3</v>
      </c>
      <c r="J19" s="3">
        <f t="shared" si="0"/>
        <v>4.3663471778487617E-2</v>
      </c>
      <c r="K19" s="2">
        <f t="shared" si="1"/>
        <v>1.4000000000000057</v>
      </c>
    </row>
    <row r="20" spans="1:12" x14ac:dyDescent="0.25">
      <c r="A20" s="1">
        <v>45685</v>
      </c>
      <c r="B20">
        <v>97.8</v>
      </c>
      <c r="C20">
        <v>97.54</v>
      </c>
      <c r="D20">
        <v>98.15</v>
      </c>
      <c r="E20">
        <v>97</v>
      </c>
      <c r="F20" t="s">
        <v>45</v>
      </c>
      <c r="G20" s="7">
        <v>-2E-3</v>
      </c>
      <c r="J20" s="3">
        <f t="shared" si="0"/>
        <v>4.1533546325878579E-2</v>
      </c>
      <c r="K20" s="2">
        <f t="shared" si="1"/>
        <v>1.1500000000000057</v>
      </c>
    </row>
    <row r="21" spans="1:12" x14ac:dyDescent="0.25">
      <c r="A21" s="1">
        <v>45686</v>
      </c>
      <c r="B21">
        <v>97.4</v>
      </c>
      <c r="C21">
        <v>97.8</v>
      </c>
      <c r="D21">
        <v>97.8</v>
      </c>
      <c r="E21">
        <v>96.8</v>
      </c>
      <c r="F21" t="s">
        <v>85</v>
      </c>
      <c r="G21" s="7">
        <v>-4.1000000000000003E-3</v>
      </c>
      <c r="H21" s="2">
        <f>AVERAGE(B2:B21)</f>
        <v>95.82050000000001</v>
      </c>
      <c r="J21" s="3">
        <f t="shared" si="0"/>
        <v>3.727369542066028E-2</v>
      </c>
      <c r="K21" s="2">
        <f t="shared" si="1"/>
        <v>1</v>
      </c>
      <c r="L21" s="2">
        <f>AVERAGE(K2:K21)</f>
        <v>1.1704999999999999</v>
      </c>
    </row>
    <row r="22" spans="1:12" x14ac:dyDescent="0.25">
      <c r="A22" s="1">
        <v>45687</v>
      </c>
      <c r="B22">
        <v>97.7</v>
      </c>
      <c r="C22">
        <v>97.6</v>
      </c>
      <c r="D22">
        <v>97.8</v>
      </c>
      <c r="E22">
        <v>97</v>
      </c>
      <c r="F22" t="s">
        <v>86</v>
      </c>
      <c r="G22" s="7">
        <v>3.0999999999999999E-3</v>
      </c>
      <c r="H22" s="2">
        <f t="shared" ref="H22:H85" si="2">AVERAGE(B3:B22)</f>
        <v>96.010500000000008</v>
      </c>
      <c r="J22" s="3">
        <f t="shared" si="0"/>
        <v>4.0468583599573948E-2</v>
      </c>
      <c r="K22" s="2">
        <f t="shared" si="1"/>
        <v>0.79999999999999716</v>
      </c>
      <c r="L22" s="2">
        <f t="shared" ref="L22:L85" si="3">AVERAGE(K3:K22)</f>
        <v>1.1914999999999991</v>
      </c>
    </row>
    <row r="23" spans="1:12" x14ac:dyDescent="0.25">
      <c r="A23" s="1">
        <v>45688</v>
      </c>
      <c r="B23">
        <v>97</v>
      </c>
      <c r="C23">
        <v>97</v>
      </c>
      <c r="D23">
        <v>97.5</v>
      </c>
      <c r="E23">
        <v>97</v>
      </c>
      <c r="F23" t="s">
        <v>27</v>
      </c>
      <c r="G23" s="7">
        <v>-7.1999999999999998E-3</v>
      </c>
      <c r="H23" s="2">
        <f t="shared" si="2"/>
        <v>96.185500000000019</v>
      </c>
      <c r="J23" s="3">
        <f t="shared" si="0"/>
        <v>3.3013844515441981E-2</v>
      </c>
      <c r="K23" s="2">
        <f t="shared" si="1"/>
        <v>0.5</v>
      </c>
      <c r="L23" s="2">
        <f t="shared" si="3"/>
        <v>1.1794999999999995</v>
      </c>
    </row>
    <row r="24" spans="1:12" x14ac:dyDescent="0.25">
      <c r="A24" s="1">
        <v>45691</v>
      </c>
      <c r="B24">
        <v>97</v>
      </c>
      <c r="C24">
        <v>97</v>
      </c>
      <c r="D24">
        <v>97.5</v>
      </c>
      <c r="E24">
        <v>96.62</v>
      </c>
      <c r="F24" t="s">
        <v>87</v>
      </c>
      <c r="G24" s="7">
        <v>0</v>
      </c>
      <c r="H24" s="2">
        <f t="shared" si="2"/>
        <v>96.351000000000013</v>
      </c>
      <c r="J24" s="3">
        <f t="shared" si="0"/>
        <v>3.3013844515441981E-2</v>
      </c>
      <c r="K24" s="2">
        <f t="shared" si="1"/>
        <v>0.87999999999999545</v>
      </c>
      <c r="L24" s="2">
        <f t="shared" si="3"/>
        <v>1.1984999999999992</v>
      </c>
    </row>
    <row r="25" spans="1:12" x14ac:dyDescent="0.25">
      <c r="A25" s="1">
        <v>45692</v>
      </c>
      <c r="B25">
        <v>96.98</v>
      </c>
      <c r="C25">
        <v>96.5</v>
      </c>
      <c r="D25">
        <v>96.98</v>
      </c>
      <c r="E25">
        <v>96</v>
      </c>
      <c r="F25" t="s">
        <v>80</v>
      </c>
      <c r="G25" s="7">
        <v>-2.0000000000000001E-4</v>
      </c>
      <c r="H25" s="2">
        <f t="shared" si="2"/>
        <v>96.52500000000002</v>
      </c>
      <c r="J25" s="3">
        <f t="shared" si="0"/>
        <v>3.2800851970181011E-2</v>
      </c>
      <c r="K25" s="2">
        <f t="shared" si="1"/>
        <v>0.98000000000000398</v>
      </c>
      <c r="L25" s="2">
        <f t="shared" si="3"/>
        <v>1.2299999999999991</v>
      </c>
    </row>
    <row r="26" spans="1:12" x14ac:dyDescent="0.25">
      <c r="A26" s="1">
        <v>45693</v>
      </c>
      <c r="B26">
        <v>96.9</v>
      </c>
      <c r="C26">
        <v>96.95</v>
      </c>
      <c r="D26">
        <v>96.95</v>
      </c>
      <c r="E26">
        <v>96.2</v>
      </c>
      <c r="F26" t="s">
        <v>14</v>
      </c>
      <c r="G26" s="7">
        <v>-8.0000000000000004E-4</v>
      </c>
      <c r="H26" s="2">
        <f t="shared" si="2"/>
        <v>96.685000000000016</v>
      </c>
      <c r="J26" s="3">
        <f t="shared" si="0"/>
        <v>3.1948881789137351E-2</v>
      </c>
      <c r="K26" s="2">
        <f t="shared" si="1"/>
        <v>0.75</v>
      </c>
      <c r="L26" s="2">
        <f t="shared" si="3"/>
        <v>1.2524999999999991</v>
      </c>
    </row>
    <row r="27" spans="1:12" x14ac:dyDescent="0.25">
      <c r="A27" s="1">
        <v>45694</v>
      </c>
      <c r="B27">
        <v>96.45</v>
      </c>
      <c r="C27">
        <v>96.95</v>
      </c>
      <c r="D27">
        <v>96.95</v>
      </c>
      <c r="E27">
        <v>96.2</v>
      </c>
      <c r="F27" t="s">
        <v>88</v>
      </c>
      <c r="G27" s="7">
        <v>-4.5999999999999999E-3</v>
      </c>
      <c r="H27" s="2">
        <f t="shared" si="2"/>
        <v>96.808000000000021</v>
      </c>
      <c r="J27" s="3">
        <f t="shared" si="0"/>
        <v>2.7156549520766848E-2</v>
      </c>
      <c r="K27" s="2">
        <f t="shared" si="1"/>
        <v>0.75</v>
      </c>
      <c r="L27" s="2">
        <f t="shared" si="3"/>
        <v>1.2599999999999993</v>
      </c>
    </row>
    <row r="28" spans="1:12" x14ac:dyDescent="0.25">
      <c r="A28" s="1">
        <v>45695</v>
      </c>
      <c r="B28">
        <v>96.99</v>
      </c>
      <c r="C28">
        <v>96.44</v>
      </c>
      <c r="D28">
        <v>96.99</v>
      </c>
      <c r="E28">
        <v>96.2</v>
      </c>
      <c r="F28" t="s">
        <v>89</v>
      </c>
      <c r="G28" s="7">
        <v>5.5999999999999999E-3</v>
      </c>
      <c r="H28" s="2">
        <f t="shared" si="2"/>
        <v>96.958000000000013</v>
      </c>
      <c r="J28" s="3">
        <f t="shared" si="0"/>
        <v>3.2907348242811274E-2</v>
      </c>
      <c r="K28" s="2">
        <f t="shared" si="1"/>
        <v>0.78999999999999204</v>
      </c>
      <c r="L28" s="2">
        <f t="shared" si="3"/>
        <v>1.2849999999999995</v>
      </c>
    </row>
    <row r="29" spans="1:12" x14ac:dyDescent="0.25">
      <c r="A29" s="1">
        <v>45698</v>
      </c>
      <c r="B29">
        <v>97.4</v>
      </c>
      <c r="C29">
        <v>96.9</v>
      </c>
      <c r="D29">
        <v>97.5</v>
      </c>
      <c r="E29">
        <v>96.89</v>
      </c>
      <c r="F29" t="s">
        <v>90</v>
      </c>
      <c r="G29" s="7">
        <v>4.1999999999999997E-3</v>
      </c>
      <c r="H29" s="2">
        <f t="shared" si="2"/>
        <v>97.128000000000014</v>
      </c>
      <c r="J29" s="3">
        <f t="shared" si="0"/>
        <v>3.727369542066028E-2</v>
      </c>
      <c r="K29" s="2">
        <f t="shared" si="1"/>
        <v>0.60999999999999943</v>
      </c>
      <c r="L29" s="2">
        <f t="shared" si="3"/>
        <v>1.2759999999999998</v>
      </c>
    </row>
    <row r="30" spans="1:12" x14ac:dyDescent="0.25">
      <c r="A30" s="1">
        <v>45699</v>
      </c>
      <c r="B30">
        <v>97.03</v>
      </c>
      <c r="C30">
        <v>97.48</v>
      </c>
      <c r="D30">
        <v>97.48</v>
      </c>
      <c r="E30">
        <v>96.91</v>
      </c>
      <c r="F30" t="s">
        <v>67</v>
      </c>
      <c r="G30" s="7">
        <v>-3.8E-3</v>
      </c>
      <c r="H30" s="2">
        <f t="shared" si="2"/>
        <v>97.23</v>
      </c>
      <c r="J30" s="3">
        <f t="shared" si="0"/>
        <v>3.3333333333333215E-2</v>
      </c>
      <c r="K30" s="2">
        <f t="shared" si="1"/>
        <v>0.57000000000000739</v>
      </c>
      <c r="L30" s="2">
        <f t="shared" si="3"/>
        <v>1.2</v>
      </c>
    </row>
    <row r="31" spans="1:12" x14ac:dyDescent="0.25">
      <c r="A31" s="1">
        <v>45700</v>
      </c>
      <c r="B31">
        <v>97.15</v>
      </c>
      <c r="C31">
        <v>97</v>
      </c>
      <c r="D31">
        <v>97.4</v>
      </c>
      <c r="E31">
        <v>97</v>
      </c>
      <c r="F31" t="s">
        <v>45</v>
      </c>
      <c r="G31" s="7">
        <v>1.1999999999999999E-3</v>
      </c>
      <c r="H31" s="2">
        <f t="shared" si="2"/>
        <v>97.237500000000011</v>
      </c>
      <c r="J31" s="3">
        <f t="shared" si="0"/>
        <v>3.4611288604898816E-2</v>
      </c>
      <c r="K31" s="2">
        <f t="shared" si="1"/>
        <v>0.40000000000000568</v>
      </c>
      <c r="L31" s="2">
        <f t="shared" si="3"/>
        <v>1.0800000000000005</v>
      </c>
    </row>
    <row r="32" spans="1:12" x14ac:dyDescent="0.25">
      <c r="A32" s="1">
        <v>45701</v>
      </c>
      <c r="B32">
        <v>97.4</v>
      </c>
      <c r="C32">
        <v>97.1</v>
      </c>
      <c r="D32">
        <v>97.4</v>
      </c>
      <c r="E32">
        <v>97</v>
      </c>
      <c r="F32" t="s">
        <v>24</v>
      </c>
      <c r="G32" s="7">
        <v>2.5999999999999999E-3</v>
      </c>
      <c r="H32" s="2">
        <f t="shared" si="2"/>
        <v>97.265000000000015</v>
      </c>
      <c r="J32" s="3">
        <f t="shared" si="0"/>
        <v>3.727369542066028E-2</v>
      </c>
      <c r="K32" s="2">
        <f t="shared" si="1"/>
        <v>0.40000000000000568</v>
      </c>
      <c r="L32" s="2">
        <f t="shared" si="3"/>
        <v>1.0025000000000006</v>
      </c>
    </row>
    <row r="33" spans="1:12" x14ac:dyDescent="0.25">
      <c r="A33" s="1">
        <v>45702</v>
      </c>
      <c r="B33">
        <v>97.5</v>
      </c>
      <c r="C33">
        <v>97.35</v>
      </c>
      <c r="D33">
        <v>98</v>
      </c>
      <c r="E33">
        <v>97</v>
      </c>
      <c r="F33" t="s">
        <v>91</v>
      </c>
      <c r="G33" s="7">
        <v>1E-3</v>
      </c>
      <c r="H33" s="2">
        <f t="shared" si="2"/>
        <v>97.315000000000026</v>
      </c>
      <c r="J33" s="3">
        <f t="shared" si="0"/>
        <v>3.8338658146964688E-2</v>
      </c>
      <c r="K33" s="2">
        <f t="shared" si="1"/>
        <v>1</v>
      </c>
      <c r="L33" s="2">
        <f t="shared" si="3"/>
        <v>0.97850000000000104</v>
      </c>
    </row>
    <row r="34" spans="1:12" x14ac:dyDescent="0.25">
      <c r="A34" s="1">
        <v>45705</v>
      </c>
      <c r="B34">
        <v>97.5</v>
      </c>
      <c r="C34">
        <v>97.7</v>
      </c>
      <c r="D34">
        <v>97.7</v>
      </c>
      <c r="E34">
        <v>97.12</v>
      </c>
      <c r="F34" t="s">
        <v>92</v>
      </c>
      <c r="G34" s="7">
        <v>0</v>
      </c>
      <c r="H34" s="2">
        <f t="shared" si="2"/>
        <v>97.365000000000023</v>
      </c>
      <c r="J34" s="3">
        <f t="shared" si="0"/>
        <v>3.8338658146964688E-2</v>
      </c>
      <c r="K34" s="2">
        <f t="shared" si="1"/>
        <v>0.57999999999999829</v>
      </c>
      <c r="L34" s="2">
        <f t="shared" si="3"/>
        <v>0.95250000000000123</v>
      </c>
    </row>
    <row r="35" spans="1:12" x14ac:dyDescent="0.25">
      <c r="A35" s="1">
        <v>45706</v>
      </c>
      <c r="B35">
        <v>98.5</v>
      </c>
      <c r="C35">
        <v>97.5</v>
      </c>
      <c r="D35">
        <v>98.5</v>
      </c>
      <c r="E35">
        <v>97.16</v>
      </c>
      <c r="F35" t="s">
        <v>93</v>
      </c>
      <c r="G35" s="7">
        <v>1.03E-2</v>
      </c>
      <c r="H35" s="2">
        <f t="shared" si="2"/>
        <v>97.440000000000026</v>
      </c>
      <c r="J35" s="3">
        <f t="shared" si="0"/>
        <v>4.8988285410010546E-2</v>
      </c>
      <c r="K35" s="2">
        <f t="shared" si="1"/>
        <v>1.3400000000000034</v>
      </c>
      <c r="L35" s="2">
        <f t="shared" si="3"/>
        <v>0.9500000000000014</v>
      </c>
    </row>
    <row r="36" spans="1:12" x14ac:dyDescent="0.25">
      <c r="A36" s="1">
        <v>45707</v>
      </c>
      <c r="B36">
        <v>98.89</v>
      </c>
      <c r="C36">
        <v>98</v>
      </c>
      <c r="D36">
        <v>98.99</v>
      </c>
      <c r="E36">
        <v>97.65</v>
      </c>
      <c r="F36" t="s">
        <v>94</v>
      </c>
      <c r="G36" s="7">
        <v>4.0000000000000001E-3</v>
      </c>
      <c r="H36" s="2">
        <f t="shared" si="2"/>
        <v>97.544500000000014</v>
      </c>
      <c r="J36" s="3">
        <f t="shared" si="0"/>
        <v>5.3141640042598359E-2</v>
      </c>
      <c r="K36" s="2">
        <f t="shared" si="1"/>
        <v>1.3399999999999892</v>
      </c>
      <c r="L36" s="2">
        <f t="shared" si="3"/>
        <v>0.9845000000000006</v>
      </c>
    </row>
    <row r="37" spans="1:12" x14ac:dyDescent="0.25">
      <c r="A37" s="1">
        <v>45708</v>
      </c>
      <c r="B37">
        <v>98.9</v>
      </c>
      <c r="C37">
        <v>98.9</v>
      </c>
      <c r="D37">
        <v>98.9</v>
      </c>
      <c r="E37">
        <v>98.25</v>
      </c>
      <c r="F37" t="s">
        <v>95</v>
      </c>
      <c r="G37" s="7">
        <v>1E-4</v>
      </c>
      <c r="H37" s="2">
        <f t="shared" si="2"/>
        <v>97.569500000000019</v>
      </c>
      <c r="J37" s="3">
        <f t="shared" si="0"/>
        <v>5.3248136315229067E-2</v>
      </c>
      <c r="K37" s="2">
        <f t="shared" si="1"/>
        <v>0.65000000000000568</v>
      </c>
      <c r="L37" s="2">
        <f t="shared" si="3"/>
        <v>0.92950000000000088</v>
      </c>
    </row>
    <row r="38" spans="1:12" x14ac:dyDescent="0.25">
      <c r="A38" s="1">
        <v>45709</v>
      </c>
      <c r="B38">
        <v>99.5</v>
      </c>
      <c r="C38">
        <v>98.5</v>
      </c>
      <c r="D38">
        <v>99.9</v>
      </c>
      <c r="E38">
        <v>98.5</v>
      </c>
      <c r="F38" t="s">
        <v>96</v>
      </c>
      <c r="G38" s="7">
        <v>6.1000000000000004E-3</v>
      </c>
      <c r="H38" s="2">
        <f t="shared" si="2"/>
        <v>97.59950000000002</v>
      </c>
      <c r="J38" s="3">
        <f t="shared" si="0"/>
        <v>5.9637912673056404E-2</v>
      </c>
      <c r="K38" s="2">
        <f t="shared" si="1"/>
        <v>1.4000000000000057</v>
      </c>
      <c r="L38" s="2">
        <f t="shared" si="3"/>
        <v>0.86450000000000105</v>
      </c>
    </row>
    <row r="39" spans="1:12" x14ac:dyDescent="0.25">
      <c r="A39" s="1">
        <v>45712</v>
      </c>
      <c r="B39">
        <v>99</v>
      </c>
      <c r="C39">
        <v>99.5</v>
      </c>
      <c r="D39">
        <v>99.5</v>
      </c>
      <c r="E39">
        <v>98.63</v>
      </c>
      <c r="F39" t="s">
        <v>97</v>
      </c>
      <c r="G39" s="7">
        <v>-5.0000000000000001E-3</v>
      </c>
      <c r="H39" s="2">
        <f t="shared" si="2"/>
        <v>97.649500000000018</v>
      </c>
      <c r="J39" s="3">
        <f t="shared" si="0"/>
        <v>5.4313099041533475E-2</v>
      </c>
      <c r="K39" s="2">
        <f t="shared" si="1"/>
        <v>0.87000000000000455</v>
      </c>
      <c r="L39" s="2">
        <f t="shared" si="3"/>
        <v>0.83800000000000097</v>
      </c>
    </row>
    <row r="40" spans="1:12" x14ac:dyDescent="0.25">
      <c r="A40" s="1">
        <v>45713</v>
      </c>
      <c r="B40">
        <v>98.71</v>
      </c>
      <c r="C40">
        <v>99</v>
      </c>
      <c r="D40">
        <v>99.4</v>
      </c>
      <c r="E40">
        <v>98.68</v>
      </c>
      <c r="F40" t="s">
        <v>74</v>
      </c>
      <c r="G40" s="7">
        <v>-2.8999999999999998E-3</v>
      </c>
      <c r="H40" s="2">
        <f t="shared" si="2"/>
        <v>97.695000000000022</v>
      </c>
      <c r="J40" s="3">
        <f t="shared" si="0"/>
        <v>5.1224707135250069E-2</v>
      </c>
      <c r="K40" s="2">
        <f t="shared" si="1"/>
        <v>0.71999999999999886</v>
      </c>
      <c r="L40" s="2">
        <f t="shared" si="3"/>
        <v>0.81650000000000067</v>
      </c>
    </row>
    <row r="41" spans="1:12" x14ac:dyDescent="0.25">
      <c r="A41" s="1">
        <v>45714</v>
      </c>
      <c r="B41">
        <v>98.9</v>
      </c>
      <c r="C41">
        <v>99.35</v>
      </c>
      <c r="D41">
        <v>99.35</v>
      </c>
      <c r="E41">
        <v>98.8</v>
      </c>
      <c r="F41" t="s">
        <v>98</v>
      </c>
      <c r="G41" s="7">
        <v>1.9E-3</v>
      </c>
      <c r="H41" s="2">
        <f t="shared" si="2"/>
        <v>97.77000000000001</v>
      </c>
      <c r="J41" s="3">
        <f t="shared" si="0"/>
        <v>5.3248136315229067E-2</v>
      </c>
      <c r="K41" s="2">
        <f t="shared" si="1"/>
        <v>0.54999999999999716</v>
      </c>
      <c r="L41" s="2">
        <f t="shared" si="3"/>
        <v>0.79400000000000048</v>
      </c>
    </row>
    <row r="42" spans="1:12" x14ac:dyDescent="0.25">
      <c r="A42" s="1">
        <v>45715</v>
      </c>
      <c r="B42">
        <v>99.7</v>
      </c>
      <c r="C42">
        <v>98.9</v>
      </c>
      <c r="D42">
        <v>99.9</v>
      </c>
      <c r="E42">
        <v>98.8</v>
      </c>
      <c r="F42" t="s">
        <v>99</v>
      </c>
      <c r="G42" s="7">
        <v>8.0999999999999996E-3</v>
      </c>
      <c r="H42" s="2">
        <f t="shared" si="2"/>
        <v>97.87</v>
      </c>
      <c r="J42" s="3">
        <f t="shared" si="0"/>
        <v>6.1767838125665664E-2</v>
      </c>
      <c r="K42" s="2">
        <f t="shared" si="1"/>
        <v>1.1000000000000085</v>
      </c>
      <c r="L42" s="2">
        <f t="shared" si="3"/>
        <v>0.80900000000000105</v>
      </c>
    </row>
    <row r="43" spans="1:12" x14ac:dyDescent="0.25">
      <c r="A43" s="1">
        <v>45716</v>
      </c>
      <c r="B43">
        <v>99.9</v>
      </c>
      <c r="C43">
        <v>100</v>
      </c>
      <c r="D43">
        <v>100</v>
      </c>
      <c r="E43">
        <v>99.9</v>
      </c>
      <c r="F43" t="s">
        <v>100</v>
      </c>
      <c r="G43" s="7">
        <v>2E-3</v>
      </c>
      <c r="H43" s="2">
        <f t="shared" si="2"/>
        <v>98.015000000000015</v>
      </c>
      <c r="J43" s="3">
        <f t="shared" si="0"/>
        <v>6.3897763578274702E-2</v>
      </c>
      <c r="K43" s="2">
        <f t="shared" si="1"/>
        <v>9.9999999999994316E-2</v>
      </c>
      <c r="L43" s="2">
        <f t="shared" si="3"/>
        <v>0.78900000000000081</v>
      </c>
    </row>
    <row r="44" spans="1:12" x14ac:dyDescent="0.25">
      <c r="A44" s="1">
        <v>45719</v>
      </c>
      <c r="B44">
        <v>101</v>
      </c>
      <c r="C44">
        <v>101.8</v>
      </c>
      <c r="D44">
        <v>101.8</v>
      </c>
      <c r="E44">
        <v>99.7</v>
      </c>
      <c r="F44" t="s">
        <v>55</v>
      </c>
      <c r="G44" s="7">
        <v>1.0999999999999999E-2</v>
      </c>
      <c r="H44" s="2">
        <f t="shared" si="2"/>
        <v>98.215000000000018</v>
      </c>
      <c r="J44" s="3">
        <f t="shared" si="0"/>
        <v>7.5612353567624968E-2</v>
      </c>
      <c r="K44" s="2">
        <f t="shared" si="1"/>
        <v>2.0999999999999943</v>
      </c>
      <c r="L44" s="2">
        <f t="shared" si="3"/>
        <v>0.85000000000000075</v>
      </c>
    </row>
    <row r="45" spans="1:12" x14ac:dyDescent="0.25">
      <c r="A45" s="1">
        <v>45720</v>
      </c>
      <c r="B45">
        <v>103.5</v>
      </c>
      <c r="C45">
        <v>101</v>
      </c>
      <c r="D45">
        <v>103.5</v>
      </c>
      <c r="E45">
        <v>101</v>
      </c>
      <c r="F45" t="s">
        <v>101</v>
      </c>
      <c r="G45" s="7">
        <v>2.4799999999999999E-2</v>
      </c>
      <c r="H45" s="2">
        <f t="shared" si="2"/>
        <v>98.541000000000025</v>
      </c>
      <c r="J45" s="3">
        <f t="shared" si="0"/>
        <v>0.10223642172523961</v>
      </c>
      <c r="K45" s="2">
        <f t="shared" si="1"/>
        <v>2.5</v>
      </c>
      <c r="L45" s="2">
        <f t="shared" si="3"/>
        <v>0.92600000000000049</v>
      </c>
    </row>
    <row r="46" spans="1:12" x14ac:dyDescent="0.25">
      <c r="A46" s="1">
        <v>45721</v>
      </c>
      <c r="B46">
        <v>103</v>
      </c>
      <c r="C46">
        <v>103</v>
      </c>
      <c r="D46">
        <v>103.5</v>
      </c>
      <c r="E46">
        <v>102.5</v>
      </c>
      <c r="F46" t="s">
        <v>102</v>
      </c>
      <c r="G46" s="7">
        <v>-4.7999999999999996E-3</v>
      </c>
      <c r="H46" s="2">
        <f t="shared" si="2"/>
        <v>98.846000000000018</v>
      </c>
      <c r="J46" s="3">
        <f t="shared" si="0"/>
        <v>9.6911608093716683E-2</v>
      </c>
      <c r="K46" s="2">
        <f t="shared" si="1"/>
        <v>1</v>
      </c>
      <c r="L46" s="2">
        <f t="shared" si="3"/>
        <v>0.93850000000000056</v>
      </c>
    </row>
    <row r="47" spans="1:12" x14ac:dyDescent="0.25">
      <c r="A47" s="1">
        <v>45722</v>
      </c>
      <c r="B47">
        <v>103.25</v>
      </c>
      <c r="C47">
        <v>103</v>
      </c>
      <c r="D47">
        <v>103.49</v>
      </c>
      <c r="E47">
        <v>102.65</v>
      </c>
      <c r="F47" t="s">
        <v>103</v>
      </c>
      <c r="G47" s="7">
        <v>2.3999999999999998E-3</v>
      </c>
      <c r="H47" s="2">
        <f t="shared" si="2"/>
        <v>99.186000000000007</v>
      </c>
      <c r="J47" s="3">
        <f t="shared" si="0"/>
        <v>9.9574014909478148E-2</v>
      </c>
      <c r="K47" s="2">
        <f t="shared" si="1"/>
        <v>0.8399999999999892</v>
      </c>
      <c r="L47" s="2">
        <f t="shared" si="3"/>
        <v>0.94299999999999995</v>
      </c>
    </row>
    <row r="48" spans="1:12" x14ac:dyDescent="0.25">
      <c r="A48" s="1">
        <v>45723</v>
      </c>
      <c r="B48">
        <v>101</v>
      </c>
      <c r="C48">
        <v>102.7</v>
      </c>
      <c r="D48">
        <v>102.7</v>
      </c>
      <c r="E48">
        <v>100</v>
      </c>
      <c r="F48" t="s">
        <v>104</v>
      </c>
      <c r="G48" s="7">
        <v>-2.18E-2</v>
      </c>
      <c r="H48" s="2">
        <f t="shared" si="2"/>
        <v>99.386500000000012</v>
      </c>
      <c r="J48" s="3">
        <f t="shared" si="0"/>
        <v>7.5612353567624968E-2</v>
      </c>
      <c r="K48" s="2">
        <f t="shared" si="1"/>
        <v>2.7000000000000028</v>
      </c>
      <c r="L48" s="2">
        <f t="shared" si="3"/>
        <v>1.0385000000000004</v>
      </c>
    </row>
    <row r="49" spans="1:12" x14ac:dyDescent="0.25">
      <c r="A49" s="1">
        <v>45726</v>
      </c>
      <c r="B49">
        <v>100.99</v>
      </c>
      <c r="C49">
        <v>100.98</v>
      </c>
      <c r="D49">
        <v>100.99</v>
      </c>
      <c r="E49">
        <v>100.5</v>
      </c>
      <c r="F49" t="s">
        <v>105</v>
      </c>
      <c r="G49" s="7">
        <v>-1E-4</v>
      </c>
      <c r="H49" s="2">
        <f t="shared" si="2"/>
        <v>99.566000000000003</v>
      </c>
      <c r="J49" s="3">
        <f t="shared" si="0"/>
        <v>7.5505857294994483E-2</v>
      </c>
      <c r="K49" s="2">
        <f t="shared" si="1"/>
        <v>0.48999999999999488</v>
      </c>
      <c r="L49" s="2">
        <f t="shared" si="3"/>
        <v>1.0325000000000002</v>
      </c>
    </row>
    <row r="50" spans="1:12" x14ac:dyDescent="0.25">
      <c r="A50" s="1">
        <v>45727</v>
      </c>
      <c r="B50">
        <v>100.1</v>
      </c>
      <c r="C50">
        <v>100.99</v>
      </c>
      <c r="D50">
        <v>100.99</v>
      </c>
      <c r="E50">
        <v>100.1</v>
      </c>
      <c r="F50" t="s">
        <v>80</v>
      </c>
      <c r="G50" s="7">
        <v>-8.8000000000000005E-3</v>
      </c>
      <c r="H50" s="2">
        <f t="shared" si="2"/>
        <v>99.719500000000011</v>
      </c>
      <c r="J50" s="3">
        <f t="shared" si="0"/>
        <v>6.6027689030883741E-2</v>
      </c>
      <c r="K50" s="2">
        <f t="shared" si="1"/>
        <v>0.89000000000000057</v>
      </c>
      <c r="L50" s="2">
        <f t="shared" si="3"/>
        <v>1.0485</v>
      </c>
    </row>
    <row r="51" spans="1:12" x14ac:dyDescent="0.25">
      <c r="A51" s="1">
        <v>45728</v>
      </c>
      <c r="B51">
        <v>101</v>
      </c>
      <c r="C51">
        <v>100.1</v>
      </c>
      <c r="D51">
        <v>102.8</v>
      </c>
      <c r="E51">
        <v>100.1</v>
      </c>
      <c r="F51" t="s">
        <v>106</v>
      </c>
      <c r="G51" s="7">
        <v>8.9999999999999993E-3</v>
      </c>
      <c r="H51" s="2">
        <f t="shared" si="2"/>
        <v>99.912000000000006</v>
      </c>
      <c r="I51" s="2">
        <f>AVERAGE(B2:B51)</f>
        <v>97.704999999999998</v>
      </c>
      <c r="J51" s="3">
        <f t="shared" si="0"/>
        <v>7.5612353567624968E-2</v>
      </c>
      <c r="K51" s="2">
        <f t="shared" si="1"/>
        <v>2.7000000000000028</v>
      </c>
      <c r="L51" s="2">
        <f t="shared" si="3"/>
        <v>1.1634999999999998</v>
      </c>
    </row>
    <row r="52" spans="1:12" x14ac:dyDescent="0.25">
      <c r="A52" s="1">
        <v>45729</v>
      </c>
      <c r="B52">
        <v>101.9</v>
      </c>
      <c r="C52">
        <v>100.9</v>
      </c>
      <c r="D52">
        <v>102</v>
      </c>
      <c r="E52">
        <v>100.9</v>
      </c>
      <c r="F52" t="s">
        <v>22</v>
      </c>
      <c r="G52" s="7">
        <v>8.8999999999999999E-3</v>
      </c>
      <c r="H52" s="2">
        <f t="shared" si="2"/>
        <v>100.137</v>
      </c>
      <c r="I52" s="2">
        <f t="shared" ref="I52:I115" si="4">AVERAGE(B3:B52)</f>
        <v>97.864999999999995</v>
      </c>
      <c r="J52" s="3">
        <f t="shared" si="0"/>
        <v>8.5197018104366418E-2</v>
      </c>
      <c r="K52" s="2">
        <f t="shared" si="1"/>
        <v>1.0999999999999943</v>
      </c>
      <c r="L52" s="2">
        <f t="shared" si="3"/>
        <v>1.1984999999999992</v>
      </c>
    </row>
    <row r="53" spans="1:12" x14ac:dyDescent="0.25">
      <c r="A53" s="1">
        <v>45730</v>
      </c>
      <c r="B53">
        <v>100.6</v>
      </c>
      <c r="C53">
        <v>101.5</v>
      </c>
      <c r="D53">
        <v>101.5</v>
      </c>
      <c r="E53">
        <v>100.6</v>
      </c>
      <c r="F53" t="s">
        <v>107</v>
      </c>
      <c r="G53" s="7">
        <v>-1.2800000000000001E-2</v>
      </c>
      <c r="H53" s="2">
        <f t="shared" si="2"/>
        <v>100.292</v>
      </c>
      <c r="I53" s="2">
        <f t="shared" si="4"/>
        <v>98.007000000000005</v>
      </c>
      <c r="J53" s="3">
        <f t="shared" si="0"/>
        <v>7.1352502662406669E-2</v>
      </c>
      <c r="K53" s="2">
        <f t="shared" si="1"/>
        <v>0.90000000000000568</v>
      </c>
      <c r="L53" s="2">
        <f t="shared" si="3"/>
        <v>1.1934999999999996</v>
      </c>
    </row>
    <row r="54" spans="1:12" x14ac:dyDescent="0.25">
      <c r="A54" s="1">
        <v>45733</v>
      </c>
      <c r="B54">
        <v>100.59</v>
      </c>
      <c r="C54">
        <v>100.55</v>
      </c>
      <c r="D54">
        <v>100.6</v>
      </c>
      <c r="E54">
        <v>100.3</v>
      </c>
      <c r="F54" t="s">
        <v>100</v>
      </c>
      <c r="G54" s="7">
        <v>-1E-4</v>
      </c>
      <c r="H54" s="2">
        <f t="shared" si="2"/>
        <v>100.44649999999999</v>
      </c>
      <c r="I54" s="2">
        <f t="shared" si="4"/>
        <v>98.144999999999996</v>
      </c>
      <c r="J54" s="3">
        <f t="shared" si="0"/>
        <v>7.1246006389776406E-2</v>
      </c>
      <c r="K54" s="2">
        <f t="shared" si="1"/>
        <v>0.29999999999999716</v>
      </c>
      <c r="L54" s="2">
        <f t="shared" si="3"/>
        <v>1.1794999999999995</v>
      </c>
    </row>
    <row r="55" spans="1:12" x14ac:dyDescent="0.25">
      <c r="A55" s="1">
        <v>45734</v>
      </c>
      <c r="B55">
        <v>99.9</v>
      </c>
      <c r="C55">
        <v>100.6</v>
      </c>
      <c r="D55">
        <v>100.6</v>
      </c>
      <c r="E55">
        <v>99.71</v>
      </c>
      <c r="F55" t="s">
        <v>108</v>
      </c>
      <c r="G55" s="7">
        <v>-6.8999999999999999E-3</v>
      </c>
      <c r="H55" s="2">
        <f t="shared" si="2"/>
        <v>100.51649999999999</v>
      </c>
      <c r="I55" s="2">
        <f t="shared" si="4"/>
        <v>98.27300000000001</v>
      </c>
      <c r="J55" s="3">
        <f t="shared" si="0"/>
        <v>6.3897763578274702E-2</v>
      </c>
      <c r="K55" s="2">
        <f t="shared" si="1"/>
        <v>0.89000000000000057</v>
      </c>
      <c r="L55" s="2">
        <f t="shared" si="3"/>
        <v>1.1569999999999994</v>
      </c>
    </row>
    <row r="56" spans="1:12" x14ac:dyDescent="0.25">
      <c r="A56" s="1">
        <v>45735</v>
      </c>
      <c r="B56">
        <v>99.72</v>
      </c>
      <c r="C56">
        <v>99.9</v>
      </c>
      <c r="D56">
        <v>100</v>
      </c>
      <c r="E56">
        <v>99</v>
      </c>
      <c r="F56" t="s">
        <v>109</v>
      </c>
      <c r="G56" s="7">
        <v>-1.8E-3</v>
      </c>
      <c r="H56" s="2">
        <f t="shared" si="2"/>
        <v>100.55800000000001</v>
      </c>
      <c r="I56" s="2">
        <f t="shared" si="4"/>
        <v>98.393400000000014</v>
      </c>
      <c r="J56" s="3">
        <f t="shared" si="0"/>
        <v>6.1980830670926412E-2</v>
      </c>
      <c r="K56" s="2">
        <f t="shared" si="1"/>
        <v>1</v>
      </c>
      <c r="L56" s="2">
        <f t="shared" si="3"/>
        <v>1.1399999999999999</v>
      </c>
    </row>
    <row r="57" spans="1:12" x14ac:dyDescent="0.25">
      <c r="A57" s="1">
        <v>45737</v>
      </c>
      <c r="B57">
        <v>99.7</v>
      </c>
      <c r="C57">
        <v>99</v>
      </c>
      <c r="D57">
        <v>99.72</v>
      </c>
      <c r="E57">
        <v>99</v>
      </c>
      <c r="F57" t="s">
        <v>110</v>
      </c>
      <c r="G57" s="7">
        <v>-2.0000000000000001E-4</v>
      </c>
      <c r="H57" s="2">
        <f t="shared" si="2"/>
        <v>100.598</v>
      </c>
      <c r="I57" s="2">
        <f t="shared" si="4"/>
        <v>98.507600000000025</v>
      </c>
      <c r="J57" s="3">
        <f t="shared" si="0"/>
        <v>6.1767838125665664E-2</v>
      </c>
      <c r="K57" s="2">
        <f t="shared" si="1"/>
        <v>0.71999999999999886</v>
      </c>
      <c r="L57" s="2">
        <f t="shared" si="3"/>
        <v>1.1434999999999995</v>
      </c>
    </row>
    <row r="58" spans="1:12" x14ac:dyDescent="0.25">
      <c r="A58" s="1">
        <v>45740</v>
      </c>
      <c r="B58">
        <v>98.9</v>
      </c>
      <c r="C58">
        <v>99.7</v>
      </c>
      <c r="D58">
        <v>99.7</v>
      </c>
      <c r="E58">
        <v>98.1</v>
      </c>
      <c r="F58" t="s">
        <v>94</v>
      </c>
      <c r="G58" s="7">
        <v>-8.0000000000000002E-3</v>
      </c>
      <c r="H58" s="2">
        <f t="shared" si="2"/>
        <v>100.56800000000001</v>
      </c>
      <c r="I58" s="2">
        <f t="shared" si="4"/>
        <v>98.605800000000002</v>
      </c>
      <c r="J58" s="3">
        <f t="shared" si="0"/>
        <v>5.3248136315229067E-2</v>
      </c>
      <c r="K58" s="2">
        <f t="shared" si="1"/>
        <v>1.6000000000000085</v>
      </c>
      <c r="L58" s="2">
        <f t="shared" si="3"/>
        <v>1.1534999999999997</v>
      </c>
    </row>
    <row r="59" spans="1:12" x14ac:dyDescent="0.25">
      <c r="A59" s="1">
        <v>45741</v>
      </c>
      <c r="B59">
        <v>98.9</v>
      </c>
      <c r="C59">
        <v>98.9</v>
      </c>
      <c r="D59">
        <v>99.6</v>
      </c>
      <c r="E59">
        <v>98</v>
      </c>
      <c r="F59" t="s">
        <v>111</v>
      </c>
      <c r="G59" s="7">
        <v>0</v>
      </c>
      <c r="H59" s="2">
        <f t="shared" si="2"/>
        <v>100.56300000000002</v>
      </c>
      <c r="I59" s="2">
        <f t="shared" si="4"/>
        <v>98.703799999999973</v>
      </c>
      <c r="J59" s="3">
        <f t="shared" si="0"/>
        <v>5.3248136315229067E-2</v>
      </c>
      <c r="K59" s="2">
        <f t="shared" si="1"/>
        <v>1.5999999999999943</v>
      </c>
      <c r="L59" s="2">
        <f t="shared" si="3"/>
        <v>1.1899999999999991</v>
      </c>
    </row>
    <row r="60" spans="1:12" x14ac:dyDescent="0.25">
      <c r="A60" s="1">
        <v>45742</v>
      </c>
      <c r="B60">
        <v>98.66</v>
      </c>
      <c r="C60">
        <v>98.13</v>
      </c>
      <c r="D60">
        <v>98.9</v>
      </c>
      <c r="E60">
        <v>98.13</v>
      </c>
      <c r="F60" t="s">
        <v>112</v>
      </c>
      <c r="G60" s="7">
        <v>-2.3999999999999998E-3</v>
      </c>
      <c r="H60" s="2">
        <f t="shared" si="2"/>
        <v>100.56050000000002</v>
      </c>
      <c r="I60" s="2">
        <f t="shared" si="4"/>
        <v>98.777199999999979</v>
      </c>
      <c r="J60" s="3">
        <f t="shared" si="0"/>
        <v>5.0692225772097865E-2</v>
      </c>
      <c r="K60" s="2">
        <f t="shared" si="1"/>
        <v>0.77000000000001023</v>
      </c>
      <c r="L60" s="2">
        <f t="shared" si="3"/>
        <v>1.1924999999999997</v>
      </c>
    </row>
    <row r="61" spans="1:12" x14ac:dyDescent="0.25">
      <c r="A61" s="1">
        <v>45743</v>
      </c>
      <c r="B61">
        <v>98.9</v>
      </c>
      <c r="C61">
        <v>98.9</v>
      </c>
      <c r="D61">
        <v>98.9</v>
      </c>
      <c r="E61">
        <v>98.1</v>
      </c>
      <c r="F61" t="s">
        <v>12</v>
      </c>
      <c r="G61" s="7">
        <v>2.3999999999999998E-3</v>
      </c>
      <c r="H61" s="2">
        <f t="shared" si="2"/>
        <v>100.56050000000002</v>
      </c>
      <c r="I61" s="2">
        <f t="shared" si="4"/>
        <v>98.81519999999999</v>
      </c>
      <c r="J61" s="3">
        <f t="shared" si="0"/>
        <v>5.3248136315229067E-2</v>
      </c>
      <c r="K61" s="2">
        <f t="shared" si="1"/>
        <v>0.80000000000001137</v>
      </c>
      <c r="L61" s="2">
        <f t="shared" si="3"/>
        <v>1.2050000000000005</v>
      </c>
    </row>
    <row r="62" spans="1:12" x14ac:dyDescent="0.25">
      <c r="A62" s="1">
        <v>45744</v>
      </c>
      <c r="B62">
        <v>98.5</v>
      </c>
      <c r="C62">
        <v>98.9</v>
      </c>
      <c r="D62">
        <v>99</v>
      </c>
      <c r="E62">
        <v>98.2</v>
      </c>
      <c r="F62" t="s">
        <v>113</v>
      </c>
      <c r="G62" s="7">
        <v>-4.0000000000000001E-3</v>
      </c>
      <c r="H62" s="2">
        <f t="shared" si="2"/>
        <v>100.50050000000002</v>
      </c>
      <c r="I62" s="2">
        <f t="shared" si="4"/>
        <v>98.848199999999963</v>
      </c>
      <c r="J62" s="3">
        <f t="shared" si="0"/>
        <v>4.8988285410010546E-2</v>
      </c>
      <c r="K62" s="2">
        <f t="shared" si="1"/>
        <v>0.79999999999999716</v>
      </c>
      <c r="L62" s="2">
        <f t="shared" si="3"/>
        <v>1.19</v>
      </c>
    </row>
    <row r="63" spans="1:12" x14ac:dyDescent="0.25">
      <c r="A63" s="1">
        <v>45749</v>
      </c>
      <c r="B63">
        <v>98.5</v>
      </c>
      <c r="C63">
        <v>98.25</v>
      </c>
      <c r="D63">
        <v>99</v>
      </c>
      <c r="E63">
        <v>98</v>
      </c>
      <c r="F63" t="s">
        <v>114</v>
      </c>
      <c r="G63" s="7">
        <v>0</v>
      </c>
      <c r="H63" s="2">
        <f t="shared" si="2"/>
        <v>100.43050000000002</v>
      </c>
      <c r="I63" s="2">
        <f t="shared" si="4"/>
        <v>98.888199999999983</v>
      </c>
      <c r="J63" s="3">
        <f t="shared" si="0"/>
        <v>4.8988285410010546E-2</v>
      </c>
      <c r="K63" s="2">
        <f t="shared" si="1"/>
        <v>1</v>
      </c>
      <c r="L63" s="2">
        <f t="shared" si="3"/>
        <v>1.2350000000000001</v>
      </c>
    </row>
    <row r="64" spans="1:12" x14ac:dyDescent="0.25">
      <c r="A64" s="1">
        <v>45750</v>
      </c>
      <c r="B64">
        <v>98.5</v>
      </c>
      <c r="C64">
        <v>98.98</v>
      </c>
      <c r="D64">
        <v>98.98</v>
      </c>
      <c r="E64">
        <v>98.25</v>
      </c>
      <c r="F64" t="s">
        <v>115</v>
      </c>
      <c r="G64" s="7">
        <v>0</v>
      </c>
      <c r="H64" s="2">
        <f t="shared" si="2"/>
        <v>100.30550000000002</v>
      </c>
      <c r="I64" s="2">
        <f t="shared" si="4"/>
        <v>98.928199999999975</v>
      </c>
      <c r="J64" s="3">
        <f t="shared" si="0"/>
        <v>4.8988285410010546E-2</v>
      </c>
      <c r="K64" s="2">
        <f t="shared" si="1"/>
        <v>0.73000000000000398</v>
      </c>
      <c r="L64" s="2">
        <f t="shared" si="3"/>
        <v>1.1665000000000005</v>
      </c>
    </row>
    <row r="65" spans="1:12" x14ac:dyDescent="0.25">
      <c r="A65" s="1">
        <v>45751</v>
      </c>
      <c r="B65">
        <v>98.85</v>
      </c>
      <c r="C65">
        <v>98.5</v>
      </c>
      <c r="D65">
        <v>98.99</v>
      </c>
      <c r="E65">
        <v>98.5</v>
      </c>
      <c r="F65" t="s">
        <v>116</v>
      </c>
      <c r="G65" s="7">
        <v>3.5999999999999999E-3</v>
      </c>
      <c r="H65" s="2">
        <f t="shared" si="2"/>
        <v>100.07300000000001</v>
      </c>
      <c r="I65" s="2">
        <f t="shared" si="4"/>
        <v>98.965199999999982</v>
      </c>
      <c r="J65" s="3">
        <f t="shared" si="0"/>
        <v>5.271565495207664E-2</v>
      </c>
      <c r="K65" s="2">
        <f t="shared" si="1"/>
        <v>0.48999999999999488</v>
      </c>
      <c r="L65" s="2">
        <f t="shared" si="3"/>
        <v>1.0660000000000003</v>
      </c>
    </row>
    <row r="66" spans="1:12" x14ac:dyDescent="0.25">
      <c r="A66" s="1">
        <v>45754</v>
      </c>
      <c r="B66">
        <v>98</v>
      </c>
      <c r="C66">
        <v>98.85</v>
      </c>
      <c r="D66">
        <v>98.85</v>
      </c>
      <c r="E66">
        <v>97.4</v>
      </c>
      <c r="F66" t="s">
        <v>62</v>
      </c>
      <c r="G66" s="7">
        <v>-8.6E-3</v>
      </c>
      <c r="H66" s="2">
        <f t="shared" si="2"/>
        <v>99.823000000000008</v>
      </c>
      <c r="I66" s="2">
        <f t="shared" si="4"/>
        <v>98.989199999999983</v>
      </c>
      <c r="J66" s="3">
        <f t="shared" si="0"/>
        <v>4.3663471778487617E-2</v>
      </c>
      <c r="K66" s="2">
        <f t="shared" si="1"/>
        <v>1.4499999999999886</v>
      </c>
      <c r="L66" s="2">
        <f t="shared" si="3"/>
        <v>1.0884999999999998</v>
      </c>
    </row>
    <row r="67" spans="1:12" x14ac:dyDescent="0.25">
      <c r="A67" s="1">
        <v>45755</v>
      </c>
      <c r="B67">
        <v>98.6</v>
      </c>
      <c r="C67">
        <v>98</v>
      </c>
      <c r="D67">
        <v>98.6</v>
      </c>
      <c r="E67">
        <v>97.56</v>
      </c>
      <c r="F67" t="s">
        <v>81</v>
      </c>
      <c r="G67" s="7">
        <v>6.1000000000000004E-3</v>
      </c>
      <c r="H67" s="2">
        <f t="shared" si="2"/>
        <v>99.590500000000006</v>
      </c>
      <c r="I67" s="2">
        <f t="shared" si="4"/>
        <v>98.993200000000002</v>
      </c>
      <c r="J67" s="3">
        <f t="shared" ref="J67:J130" si="5">(B67/$B$2)-1</f>
        <v>5.0053248136315176E-2</v>
      </c>
      <c r="K67" s="2">
        <f t="shared" ref="K67:K130" si="6">D67-E67</f>
        <v>1.039999999999992</v>
      </c>
      <c r="L67" s="2">
        <f t="shared" si="3"/>
        <v>1.0985</v>
      </c>
    </row>
    <row r="68" spans="1:12" x14ac:dyDescent="0.25">
      <c r="A68" s="1">
        <v>45757</v>
      </c>
      <c r="B68">
        <v>98.6</v>
      </c>
      <c r="C68">
        <v>98.8</v>
      </c>
      <c r="D68">
        <v>98.8</v>
      </c>
      <c r="E68">
        <v>98.5</v>
      </c>
      <c r="F68" t="s">
        <v>37</v>
      </c>
      <c r="G68" s="7">
        <v>0</v>
      </c>
      <c r="H68" s="2">
        <f t="shared" si="2"/>
        <v>99.470500000000001</v>
      </c>
      <c r="I68" s="2">
        <f t="shared" si="4"/>
        <v>98.98720000000003</v>
      </c>
      <c r="J68" s="3">
        <f t="shared" si="5"/>
        <v>5.0053248136315176E-2</v>
      </c>
      <c r="K68" s="2">
        <f t="shared" si="6"/>
        <v>0.29999999999999716</v>
      </c>
      <c r="L68" s="2">
        <f t="shared" si="3"/>
        <v>0.9784999999999997</v>
      </c>
    </row>
    <row r="69" spans="1:12" x14ac:dyDescent="0.25">
      <c r="A69" s="1">
        <v>45758</v>
      </c>
      <c r="B69">
        <v>98.98</v>
      </c>
      <c r="C69">
        <v>98.5</v>
      </c>
      <c r="D69">
        <v>98.99</v>
      </c>
      <c r="E69">
        <v>98.5</v>
      </c>
      <c r="F69" t="s">
        <v>117</v>
      </c>
      <c r="G69" s="7">
        <v>3.8999999999999998E-3</v>
      </c>
      <c r="H69" s="2">
        <f t="shared" si="2"/>
        <v>99.36999999999999</v>
      </c>
      <c r="I69" s="2">
        <f t="shared" si="4"/>
        <v>99.006799999999998</v>
      </c>
      <c r="J69" s="3">
        <f t="shared" si="5"/>
        <v>5.4100106496272504E-2</v>
      </c>
      <c r="K69" s="2">
        <f t="shared" si="6"/>
        <v>0.48999999999999488</v>
      </c>
      <c r="L69" s="2">
        <f t="shared" si="3"/>
        <v>0.9784999999999997</v>
      </c>
    </row>
    <row r="70" spans="1:12" x14ac:dyDescent="0.25">
      <c r="A70" s="1">
        <v>45761</v>
      </c>
      <c r="B70">
        <v>99.2</v>
      </c>
      <c r="C70">
        <v>98.91</v>
      </c>
      <c r="D70">
        <v>99.2</v>
      </c>
      <c r="E70">
        <v>98.9</v>
      </c>
      <c r="F70" t="s">
        <v>118</v>
      </c>
      <c r="G70" s="7">
        <v>2.2000000000000001E-3</v>
      </c>
      <c r="H70" s="2">
        <f t="shared" si="2"/>
        <v>99.324999999999989</v>
      </c>
      <c r="I70" s="2">
        <f t="shared" si="4"/>
        <v>99.034800000000018</v>
      </c>
      <c r="J70" s="3">
        <f t="shared" si="5"/>
        <v>5.6443024494142735E-2</v>
      </c>
      <c r="K70" s="2">
        <f t="shared" si="6"/>
        <v>0.29999999999999716</v>
      </c>
      <c r="L70" s="2">
        <f t="shared" si="3"/>
        <v>0.94899999999999951</v>
      </c>
    </row>
    <row r="71" spans="1:12" x14ac:dyDescent="0.25">
      <c r="A71" s="1">
        <v>45762</v>
      </c>
      <c r="B71">
        <v>99.99</v>
      </c>
      <c r="C71">
        <v>99.2</v>
      </c>
      <c r="D71">
        <v>100</v>
      </c>
      <c r="E71">
        <v>99.2</v>
      </c>
      <c r="F71" t="s">
        <v>50</v>
      </c>
      <c r="G71" s="7">
        <v>8.0000000000000002E-3</v>
      </c>
      <c r="H71" s="2">
        <f t="shared" si="2"/>
        <v>99.274499999999989</v>
      </c>
      <c r="I71" s="2">
        <f t="shared" si="4"/>
        <v>99.086600000000018</v>
      </c>
      <c r="J71" s="3">
        <f t="shared" si="5"/>
        <v>6.4856230031948847E-2</v>
      </c>
      <c r="K71" s="2">
        <f t="shared" si="6"/>
        <v>0.79999999999999716</v>
      </c>
      <c r="L71" s="2">
        <f t="shared" si="3"/>
        <v>0.8539999999999992</v>
      </c>
    </row>
    <row r="72" spans="1:12" x14ac:dyDescent="0.25">
      <c r="A72" s="1">
        <v>45763</v>
      </c>
      <c r="B72">
        <v>99.99</v>
      </c>
      <c r="C72">
        <v>99.99</v>
      </c>
      <c r="D72">
        <v>100</v>
      </c>
      <c r="E72">
        <v>99.6</v>
      </c>
      <c r="F72" t="s">
        <v>44</v>
      </c>
      <c r="G72" s="7">
        <v>0</v>
      </c>
      <c r="H72" s="2">
        <f t="shared" si="2"/>
        <v>99.178999999999988</v>
      </c>
      <c r="I72" s="2">
        <f t="shared" si="4"/>
        <v>99.132400000000004</v>
      </c>
      <c r="J72" s="3">
        <f t="shared" si="5"/>
        <v>6.4856230031948847E-2</v>
      </c>
      <c r="K72" s="2">
        <f t="shared" si="6"/>
        <v>0.40000000000000568</v>
      </c>
      <c r="L72" s="2">
        <f t="shared" si="3"/>
        <v>0.81899999999999973</v>
      </c>
    </row>
    <row r="73" spans="1:12" x14ac:dyDescent="0.25">
      <c r="A73" s="1">
        <v>45764</v>
      </c>
      <c r="B73">
        <v>101.99</v>
      </c>
      <c r="C73">
        <v>99.99</v>
      </c>
      <c r="D73">
        <v>102</v>
      </c>
      <c r="E73">
        <v>99.99</v>
      </c>
      <c r="F73" t="s">
        <v>119</v>
      </c>
      <c r="G73" s="7">
        <v>0.02</v>
      </c>
      <c r="H73" s="2">
        <f t="shared" si="2"/>
        <v>99.248499999999993</v>
      </c>
      <c r="I73" s="2">
        <f t="shared" si="4"/>
        <v>99.232199999999992</v>
      </c>
      <c r="J73" s="3">
        <f t="shared" si="5"/>
        <v>8.6155484558040341E-2</v>
      </c>
      <c r="K73" s="2">
        <f t="shared" si="6"/>
        <v>2.0100000000000051</v>
      </c>
      <c r="L73" s="2">
        <f t="shared" si="3"/>
        <v>0.87449999999999972</v>
      </c>
    </row>
    <row r="74" spans="1:12" x14ac:dyDescent="0.25">
      <c r="A74" s="1">
        <v>45765</v>
      </c>
      <c r="B74">
        <v>100.99</v>
      </c>
      <c r="C74">
        <v>101.99</v>
      </c>
      <c r="D74">
        <v>101.99</v>
      </c>
      <c r="E74">
        <v>100</v>
      </c>
      <c r="F74" t="s">
        <v>21</v>
      </c>
      <c r="G74" s="7">
        <v>-9.7999999999999997E-3</v>
      </c>
      <c r="H74" s="2">
        <f t="shared" si="2"/>
        <v>99.268499999999989</v>
      </c>
      <c r="I74" s="2">
        <f t="shared" si="4"/>
        <v>99.311999999999983</v>
      </c>
      <c r="J74" s="3">
        <f t="shared" si="5"/>
        <v>7.5505857294994483E-2</v>
      </c>
      <c r="K74" s="2">
        <f t="shared" si="6"/>
        <v>1.9899999999999949</v>
      </c>
      <c r="L74" s="2">
        <f t="shared" si="3"/>
        <v>0.95899999999999963</v>
      </c>
    </row>
    <row r="75" spans="1:12" x14ac:dyDescent="0.25">
      <c r="A75" s="1">
        <v>45768</v>
      </c>
      <c r="B75">
        <v>101.87</v>
      </c>
      <c r="C75">
        <v>102</v>
      </c>
      <c r="D75">
        <v>102</v>
      </c>
      <c r="E75">
        <v>100.99</v>
      </c>
      <c r="F75" t="s">
        <v>120</v>
      </c>
      <c r="G75" s="7">
        <v>8.6999999999999994E-3</v>
      </c>
      <c r="H75" s="2">
        <f t="shared" si="2"/>
        <v>99.367000000000004</v>
      </c>
      <c r="I75" s="2">
        <f t="shared" si="4"/>
        <v>99.409799999999976</v>
      </c>
      <c r="J75" s="3">
        <f t="shared" si="5"/>
        <v>8.4877529286474962E-2</v>
      </c>
      <c r="K75" s="2">
        <f t="shared" si="6"/>
        <v>1.0100000000000051</v>
      </c>
      <c r="L75" s="2">
        <f t="shared" si="3"/>
        <v>0.96499999999999986</v>
      </c>
    </row>
    <row r="76" spans="1:12" x14ac:dyDescent="0.25">
      <c r="A76" s="1">
        <v>45769</v>
      </c>
      <c r="B76">
        <v>101.87</v>
      </c>
      <c r="C76">
        <v>101.1</v>
      </c>
      <c r="D76">
        <v>102</v>
      </c>
      <c r="E76">
        <v>101.1</v>
      </c>
      <c r="F76" t="s">
        <v>121</v>
      </c>
      <c r="G76" s="7">
        <v>0</v>
      </c>
      <c r="H76" s="2">
        <f t="shared" si="2"/>
        <v>99.474499999999992</v>
      </c>
      <c r="I76" s="2">
        <f t="shared" si="4"/>
        <v>99.509199999999964</v>
      </c>
      <c r="J76" s="3">
        <f t="shared" si="5"/>
        <v>8.4877529286474962E-2</v>
      </c>
      <c r="K76" s="2">
        <f t="shared" si="6"/>
        <v>0.90000000000000568</v>
      </c>
      <c r="L76" s="2">
        <f t="shared" si="3"/>
        <v>0.96000000000000019</v>
      </c>
    </row>
    <row r="77" spans="1:12" x14ac:dyDescent="0.25">
      <c r="A77" s="1">
        <v>45770</v>
      </c>
      <c r="B77">
        <v>102</v>
      </c>
      <c r="C77">
        <v>103</v>
      </c>
      <c r="D77">
        <v>103</v>
      </c>
      <c r="E77">
        <v>101.87</v>
      </c>
      <c r="F77" t="s">
        <v>122</v>
      </c>
      <c r="G77" s="7">
        <v>1.2999999999999999E-3</v>
      </c>
      <c r="H77" s="2">
        <f t="shared" si="2"/>
        <v>99.589500000000001</v>
      </c>
      <c r="I77" s="2">
        <f t="shared" si="4"/>
        <v>99.620199999999969</v>
      </c>
      <c r="J77" s="3">
        <f t="shared" si="5"/>
        <v>8.6261980830670826E-2</v>
      </c>
      <c r="K77" s="2">
        <f t="shared" si="6"/>
        <v>1.1299999999999955</v>
      </c>
      <c r="L77" s="2">
        <f t="shared" si="3"/>
        <v>0.98049999999999993</v>
      </c>
    </row>
    <row r="78" spans="1:12" x14ac:dyDescent="0.25">
      <c r="A78" s="1">
        <v>45771</v>
      </c>
      <c r="B78">
        <v>103</v>
      </c>
      <c r="C78">
        <v>102</v>
      </c>
      <c r="D78">
        <v>103</v>
      </c>
      <c r="E78">
        <v>101.9</v>
      </c>
      <c r="F78" t="s">
        <v>20</v>
      </c>
      <c r="G78" s="7">
        <v>9.7999999999999997E-3</v>
      </c>
      <c r="H78" s="2">
        <f t="shared" si="2"/>
        <v>99.794499999999999</v>
      </c>
      <c r="I78" s="2">
        <f t="shared" si="4"/>
        <v>99.740399999999966</v>
      </c>
      <c r="J78" s="3">
        <f t="shared" si="5"/>
        <v>9.6911608093716683E-2</v>
      </c>
      <c r="K78" s="2">
        <f t="shared" si="6"/>
        <v>1.0999999999999943</v>
      </c>
      <c r="L78" s="2">
        <f t="shared" si="3"/>
        <v>0.95549999999999924</v>
      </c>
    </row>
    <row r="79" spans="1:12" x14ac:dyDescent="0.25">
      <c r="A79" s="1">
        <v>45772</v>
      </c>
      <c r="B79">
        <v>102.49</v>
      </c>
      <c r="C79">
        <v>103</v>
      </c>
      <c r="D79">
        <v>103</v>
      </c>
      <c r="E79">
        <v>102</v>
      </c>
      <c r="F79" t="s">
        <v>123</v>
      </c>
      <c r="G79" s="7">
        <v>-5.0000000000000001E-3</v>
      </c>
      <c r="H79" s="2">
        <f t="shared" si="2"/>
        <v>99.97399999999999</v>
      </c>
      <c r="I79" s="2">
        <f t="shared" si="4"/>
        <v>99.842199999999977</v>
      </c>
      <c r="J79" s="3">
        <f t="shared" si="5"/>
        <v>9.1480298189563269E-2</v>
      </c>
      <c r="K79" s="2">
        <f t="shared" si="6"/>
        <v>1</v>
      </c>
      <c r="L79" s="2">
        <f t="shared" si="3"/>
        <v>0.92549999999999955</v>
      </c>
    </row>
    <row r="80" spans="1:12" x14ac:dyDescent="0.25">
      <c r="A80" s="1">
        <v>45775</v>
      </c>
      <c r="B80">
        <v>102.49</v>
      </c>
      <c r="C80">
        <v>102</v>
      </c>
      <c r="D80">
        <v>102.98</v>
      </c>
      <c r="E80">
        <v>102</v>
      </c>
      <c r="F80" t="s">
        <v>113</v>
      </c>
      <c r="G80" s="7">
        <v>0</v>
      </c>
      <c r="H80" s="2">
        <f t="shared" si="2"/>
        <v>100.16549999999999</v>
      </c>
      <c r="I80" s="2">
        <f t="shared" si="4"/>
        <v>99.951399999999978</v>
      </c>
      <c r="J80" s="3">
        <f t="shared" si="5"/>
        <v>9.1480298189563269E-2</v>
      </c>
      <c r="K80" s="2">
        <f t="shared" si="6"/>
        <v>0.98000000000000398</v>
      </c>
      <c r="L80" s="2">
        <f t="shared" si="3"/>
        <v>0.93599999999999928</v>
      </c>
    </row>
    <row r="81" spans="1:12" x14ac:dyDescent="0.25">
      <c r="A81" s="1">
        <v>45776</v>
      </c>
      <c r="B81">
        <v>103.4</v>
      </c>
      <c r="C81">
        <v>102.98</v>
      </c>
      <c r="D81">
        <v>103.48</v>
      </c>
      <c r="E81">
        <v>102</v>
      </c>
      <c r="F81" t="s">
        <v>124</v>
      </c>
      <c r="G81" s="7">
        <v>8.8999999999999999E-3</v>
      </c>
      <c r="H81" s="2">
        <f t="shared" si="2"/>
        <v>100.3905</v>
      </c>
      <c r="I81" s="2">
        <f t="shared" si="4"/>
        <v>100.07639999999996</v>
      </c>
      <c r="J81" s="3">
        <f t="shared" si="5"/>
        <v>0.10117145899893498</v>
      </c>
      <c r="K81" s="2">
        <f t="shared" si="6"/>
        <v>1.480000000000004</v>
      </c>
      <c r="L81" s="2">
        <f t="shared" si="3"/>
        <v>0.96999999999999886</v>
      </c>
    </row>
    <row r="82" spans="1:12" x14ac:dyDescent="0.25">
      <c r="A82" s="1">
        <v>45777</v>
      </c>
      <c r="B82">
        <v>103</v>
      </c>
      <c r="C82">
        <v>102.5</v>
      </c>
      <c r="D82">
        <v>103.48</v>
      </c>
      <c r="E82">
        <v>102.5</v>
      </c>
      <c r="F82" t="s">
        <v>40</v>
      </c>
      <c r="G82" s="7">
        <v>-3.8999999999999998E-3</v>
      </c>
      <c r="H82" s="2">
        <f t="shared" si="2"/>
        <v>100.6155</v>
      </c>
      <c r="I82" s="2">
        <f t="shared" si="4"/>
        <v>100.18839999999996</v>
      </c>
      <c r="J82" s="3">
        <f t="shared" si="5"/>
        <v>9.6911608093716683E-2</v>
      </c>
      <c r="K82" s="2">
        <f t="shared" si="6"/>
        <v>0.98000000000000398</v>
      </c>
      <c r="L82" s="2">
        <f t="shared" si="3"/>
        <v>0.9789999999999992</v>
      </c>
    </row>
    <row r="83" spans="1:12" x14ac:dyDescent="0.25">
      <c r="A83" s="1">
        <v>45779</v>
      </c>
      <c r="B83">
        <v>103.5</v>
      </c>
      <c r="C83">
        <v>103</v>
      </c>
      <c r="D83">
        <v>103.5</v>
      </c>
      <c r="E83">
        <v>102.6</v>
      </c>
      <c r="F83" t="s">
        <v>125</v>
      </c>
      <c r="G83" s="7">
        <v>4.8999999999999998E-3</v>
      </c>
      <c r="H83" s="2">
        <f t="shared" si="2"/>
        <v>100.8655</v>
      </c>
      <c r="I83" s="2">
        <f t="shared" si="4"/>
        <v>100.30839999999995</v>
      </c>
      <c r="J83" s="3">
        <f t="shared" si="5"/>
        <v>0.10223642172523961</v>
      </c>
      <c r="K83" s="2">
        <f t="shared" si="6"/>
        <v>0.90000000000000568</v>
      </c>
      <c r="L83" s="2">
        <f t="shared" si="3"/>
        <v>0.97399999999999953</v>
      </c>
    </row>
    <row r="84" spans="1:12" x14ac:dyDescent="0.25">
      <c r="A84" s="1">
        <v>45782</v>
      </c>
      <c r="B84">
        <v>103.5</v>
      </c>
      <c r="C84">
        <v>103.49</v>
      </c>
      <c r="D84">
        <v>103.5</v>
      </c>
      <c r="E84">
        <v>103.49</v>
      </c>
      <c r="F84" t="s">
        <v>126</v>
      </c>
      <c r="G84" s="7">
        <v>0</v>
      </c>
      <c r="H84" s="2">
        <f t="shared" si="2"/>
        <v>101.1155</v>
      </c>
      <c r="I84" s="2">
        <f t="shared" si="4"/>
        <v>100.42839999999995</v>
      </c>
      <c r="J84" s="3">
        <f t="shared" si="5"/>
        <v>0.10223642172523961</v>
      </c>
      <c r="K84" s="2">
        <f t="shared" si="6"/>
        <v>1.0000000000005116E-2</v>
      </c>
      <c r="L84" s="2">
        <f t="shared" si="3"/>
        <v>0.9379999999999995</v>
      </c>
    </row>
    <row r="85" spans="1:12" x14ac:dyDescent="0.25">
      <c r="A85" s="1">
        <v>45783</v>
      </c>
      <c r="B85">
        <v>103.47</v>
      </c>
      <c r="C85">
        <v>103.5</v>
      </c>
      <c r="D85">
        <v>103.5</v>
      </c>
      <c r="E85">
        <v>103.47</v>
      </c>
      <c r="F85" t="s">
        <v>127</v>
      </c>
      <c r="G85" s="7">
        <v>-2.9999999999999997E-4</v>
      </c>
      <c r="H85" s="2">
        <f t="shared" si="2"/>
        <v>101.34650000000001</v>
      </c>
      <c r="I85" s="2">
        <f t="shared" si="4"/>
        <v>100.52779999999996</v>
      </c>
      <c r="J85" s="3">
        <f t="shared" si="5"/>
        <v>0.10191693290734816</v>
      </c>
      <c r="K85" s="2">
        <f t="shared" si="6"/>
        <v>3.0000000000001137E-2</v>
      </c>
      <c r="L85" s="2">
        <f t="shared" si="3"/>
        <v>0.91499999999999981</v>
      </c>
    </row>
    <row r="86" spans="1:12" x14ac:dyDescent="0.25">
      <c r="A86" s="1">
        <v>45784</v>
      </c>
      <c r="B86">
        <v>103.47</v>
      </c>
      <c r="C86">
        <v>103.47</v>
      </c>
      <c r="D86">
        <v>103.5</v>
      </c>
      <c r="E86">
        <v>101.5</v>
      </c>
      <c r="F86" t="s">
        <v>128</v>
      </c>
      <c r="G86" s="7">
        <v>0</v>
      </c>
      <c r="H86" s="2">
        <f t="shared" ref="H86:H149" si="7">AVERAGE(B67:B86)</f>
        <v>101.62</v>
      </c>
      <c r="I86" s="2">
        <f t="shared" si="4"/>
        <v>100.61939999999997</v>
      </c>
      <c r="J86" s="3">
        <f t="shared" si="5"/>
        <v>0.10191693290734816</v>
      </c>
      <c r="K86" s="2">
        <f t="shared" si="6"/>
        <v>2</v>
      </c>
      <c r="L86" s="2">
        <f t="shared" ref="L86:L149" si="8">AVERAGE(K67:K86)</f>
        <v>0.94250000000000045</v>
      </c>
    </row>
    <row r="87" spans="1:12" x14ac:dyDescent="0.25">
      <c r="A87" s="1">
        <v>45785</v>
      </c>
      <c r="B87">
        <v>103.4</v>
      </c>
      <c r="C87">
        <v>103.47</v>
      </c>
      <c r="D87">
        <v>103.5</v>
      </c>
      <c r="E87">
        <v>102</v>
      </c>
      <c r="F87" t="s">
        <v>129</v>
      </c>
      <c r="G87" s="7">
        <v>-6.9999999999999999E-4</v>
      </c>
      <c r="H87" s="2">
        <f t="shared" si="7"/>
        <v>101.86000000000001</v>
      </c>
      <c r="I87" s="2">
        <f t="shared" si="4"/>
        <v>100.70939999999995</v>
      </c>
      <c r="J87" s="3">
        <f t="shared" si="5"/>
        <v>0.10117145899893498</v>
      </c>
      <c r="K87" s="2">
        <f t="shared" si="6"/>
        <v>1.5</v>
      </c>
      <c r="L87" s="2">
        <f t="shared" si="8"/>
        <v>0.9655000000000008</v>
      </c>
    </row>
    <row r="88" spans="1:12" x14ac:dyDescent="0.25">
      <c r="A88" s="1">
        <v>45786</v>
      </c>
      <c r="B88">
        <v>103.45</v>
      </c>
      <c r="C88">
        <v>102.4</v>
      </c>
      <c r="D88">
        <v>103.45</v>
      </c>
      <c r="E88">
        <v>102.4</v>
      </c>
      <c r="F88" t="s">
        <v>130</v>
      </c>
      <c r="G88" s="7">
        <v>5.0000000000000001E-4</v>
      </c>
      <c r="H88" s="2">
        <f t="shared" si="7"/>
        <v>102.10250000000001</v>
      </c>
      <c r="I88" s="2">
        <f t="shared" si="4"/>
        <v>100.78839999999997</v>
      </c>
      <c r="J88" s="3">
        <f t="shared" si="5"/>
        <v>0.10170394036208719</v>
      </c>
      <c r="K88" s="2">
        <f t="shared" si="6"/>
        <v>1.0499999999999972</v>
      </c>
      <c r="L88" s="2">
        <f t="shared" si="8"/>
        <v>1.0030000000000008</v>
      </c>
    </row>
    <row r="89" spans="1:12" x14ac:dyDescent="0.25">
      <c r="A89" s="1">
        <v>45789</v>
      </c>
      <c r="B89">
        <v>97.3</v>
      </c>
      <c r="C89">
        <v>97.45</v>
      </c>
      <c r="D89">
        <v>97.8</v>
      </c>
      <c r="E89">
        <v>97</v>
      </c>
      <c r="F89" t="s">
        <v>131</v>
      </c>
      <c r="G89" s="7">
        <v>-5.9400000000000001E-2</v>
      </c>
      <c r="H89" s="2">
        <f t="shared" si="7"/>
        <v>102.0185</v>
      </c>
      <c r="I89" s="2">
        <f t="shared" si="4"/>
        <v>100.75439999999998</v>
      </c>
      <c r="J89" s="3">
        <f t="shared" si="5"/>
        <v>3.620873269435565E-2</v>
      </c>
      <c r="K89" s="2">
        <f t="shared" si="6"/>
        <v>0.79999999999999716</v>
      </c>
      <c r="L89" s="2">
        <f t="shared" si="8"/>
        <v>1.0185000000000008</v>
      </c>
    </row>
    <row r="90" spans="1:12" x14ac:dyDescent="0.25">
      <c r="A90" s="1">
        <v>45790</v>
      </c>
      <c r="B90">
        <v>97.1</v>
      </c>
      <c r="C90">
        <v>97.3</v>
      </c>
      <c r="D90">
        <v>97.3</v>
      </c>
      <c r="E90">
        <v>97</v>
      </c>
      <c r="F90" t="s">
        <v>63</v>
      </c>
      <c r="G90" s="7">
        <v>-2.0999999999999999E-3</v>
      </c>
      <c r="H90" s="2">
        <f t="shared" si="7"/>
        <v>101.91350000000001</v>
      </c>
      <c r="I90" s="2">
        <f t="shared" si="4"/>
        <v>100.72219999999997</v>
      </c>
      <c r="J90" s="3">
        <f t="shared" si="5"/>
        <v>3.4078807241746389E-2</v>
      </c>
      <c r="K90" s="2">
        <f t="shared" si="6"/>
        <v>0.29999999999999716</v>
      </c>
      <c r="L90" s="2">
        <f t="shared" si="8"/>
        <v>1.0185000000000008</v>
      </c>
    </row>
    <row r="91" spans="1:12" x14ac:dyDescent="0.25">
      <c r="A91" s="1">
        <v>45791</v>
      </c>
      <c r="B91">
        <v>97</v>
      </c>
      <c r="C91">
        <v>97</v>
      </c>
      <c r="D91">
        <v>97.1</v>
      </c>
      <c r="E91">
        <v>96.9</v>
      </c>
      <c r="F91" t="s">
        <v>132</v>
      </c>
      <c r="G91" s="7">
        <v>-1E-3</v>
      </c>
      <c r="H91" s="2">
        <f t="shared" si="7"/>
        <v>101.76400000000001</v>
      </c>
      <c r="I91" s="2">
        <f t="shared" si="4"/>
        <v>100.68419999999998</v>
      </c>
      <c r="J91" s="3">
        <f t="shared" si="5"/>
        <v>3.3013844515441981E-2</v>
      </c>
      <c r="K91" s="2">
        <f t="shared" si="6"/>
        <v>0.19999999999998863</v>
      </c>
      <c r="L91" s="2">
        <f t="shared" si="8"/>
        <v>0.98850000000000049</v>
      </c>
    </row>
    <row r="92" spans="1:12" x14ac:dyDescent="0.25">
      <c r="A92" s="1">
        <v>45792</v>
      </c>
      <c r="B92">
        <v>96.98</v>
      </c>
      <c r="C92">
        <v>97</v>
      </c>
      <c r="D92">
        <v>97</v>
      </c>
      <c r="E92">
        <v>96.62</v>
      </c>
      <c r="F92" t="s">
        <v>93</v>
      </c>
      <c r="G92" s="7">
        <v>-2.0000000000000001E-4</v>
      </c>
      <c r="H92" s="2">
        <f t="shared" si="7"/>
        <v>101.6135</v>
      </c>
      <c r="I92" s="2">
        <f t="shared" si="4"/>
        <v>100.62979999999996</v>
      </c>
      <c r="J92" s="3">
        <f t="shared" si="5"/>
        <v>3.2800851970181011E-2</v>
      </c>
      <c r="K92" s="2">
        <f t="shared" si="6"/>
        <v>0.37999999999999545</v>
      </c>
      <c r="L92" s="2">
        <f t="shared" si="8"/>
        <v>0.98750000000000004</v>
      </c>
    </row>
    <row r="93" spans="1:12" x14ac:dyDescent="0.25">
      <c r="A93" s="1">
        <v>45793</v>
      </c>
      <c r="B93">
        <v>97.1</v>
      </c>
      <c r="C93">
        <v>97</v>
      </c>
      <c r="D93">
        <v>97.1</v>
      </c>
      <c r="E93">
        <v>96.65</v>
      </c>
      <c r="F93" t="s">
        <v>133</v>
      </c>
      <c r="G93" s="7">
        <v>1.1999999999999999E-3</v>
      </c>
      <c r="H93" s="2">
        <f t="shared" si="7"/>
        <v>101.369</v>
      </c>
      <c r="I93" s="2">
        <f t="shared" si="4"/>
        <v>100.57379999999998</v>
      </c>
      <c r="J93" s="3">
        <f t="shared" si="5"/>
        <v>3.4078807241746389E-2</v>
      </c>
      <c r="K93" s="2">
        <f t="shared" si="6"/>
        <v>0.44999999999998863</v>
      </c>
      <c r="L93" s="2">
        <f t="shared" si="8"/>
        <v>0.9094999999999992</v>
      </c>
    </row>
    <row r="94" spans="1:12" x14ac:dyDescent="0.25">
      <c r="A94" s="1">
        <v>45796</v>
      </c>
      <c r="B94">
        <v>96.9</v>
      </c>
      <c r="C94">
        <v>97.1</v>
      </c>
      <c r="D94">
        <v>97.1</v>
      </c>
      <c r="E94">
        <v>96.9</v>
      </c>
      <c r="F94" t="s">
        <v>134</v>
      </c>
      <c r="G94" s="7">
        <v>-2.0999999999999999E-3</v>
      </c>
      <c r="H94" s="2">
        <f t="shared" si="7"/>
        <v>101.1645</v>
      </c>
      <c r="I94" s="2">
        <f t="shared" si="4"/>
        <v>100.49179999999997</v>
      </c>
      <c r="J94" s="3">
        <f t="shared" si="5"/>
        <v>3.1948881789137351E-2</v>
      </c>
      <c r="K94" s="2">
        <f t="shared" si="6"/>
        <v>0.19999999999998863</v>
      </c>
      <c r="L94" s="2">
        <f t="shared" si="8"/>
        <v>0.81999999999999884</v>
      </c>
    </row>
    <row r="95" spans="1:12" x14ac:dyDescent="0.25">
      <c r="A95" s="1">
        <v>45797</v>
      </c>
      <c r="B95">
        <v>94.8</v>
      </c>
      <c r="C95">
        <v>97.01</v>
      </c>
      <c r="D95">
        <v>97.01</v>
      </c>
      <c r="E95">
        <v>94.1</v>
      </c>
      <c r="F95" t="s">
        <v>135</v>
      </c>
      <c r="G95" s="7">
        <v>-2.1700000000000001E-2</v>
      </c>
      <c r="H95" s="2">
        <f t="shared" si="7"/>
        <v>100.81100000000001</v>
      </c>
      <c r="I95" s="2">
        <f t="shared" si="4"/>
        <v>100.31779999999995</v>
      </c>
      <c r="J95" s="3">
        <f t="shared" si="5"/>
        <v>9.5846645367412275E-3</v>
      </c>
      <c r="K95" s="2">
        <f t="shared" si="6"/>
        <v>2.9100000000000108</v>
      </c>
      <c r="L95" s="2">
        <f t="shared" si="8"/>
        <v>0.91499999999999915</v>
      </c>
    </row>
    <row r="96" spans="1:12" x14ac:dyDescent="0.25">
      <c r="A96" s="1">
        <v>45798</v>
      </c>
      <c r="B96">
        <v>96.99</v>
      </c>
      <c r="C96">
        <v>95.9</v>
      </c>
      <c r="D96">
        <v>97</v>
      </c>
      <c r="E96">
        <v>95.9</v>
      </c>
      <c r="F96" t="s">
        <v>136</v>
      </c>
      <c r="G96" s="7">
        <v>2.3099999999999999E-2</v>
      </c>
      <c r="H96" s="2">
        <f t="shared" si="7"/>
        <v>100.56699999999999</v>
      </c>
      <c r="I96" s="2">
        <f t="shared" si="4"/>
        <v>100.19759999999997</v>
      </c>
      <c r="J96" s="3">
        <f t="shared" si="5"/>
        <v>3.2907348242811274E-2</v>
      </c>
      <c r="K96" s="2">
        <f t="shared" si="6"/>
        <v>1.0999999999999943</v>
      </c>
      <c r="L96" s="2">
        <f t="shared" si="8"/>
        <v>0.9249999999999986</v>
      </c>
    </row>
    <row r="97" spans="1:12" x14ac:dyDescent="0.25">
      <c r="A97" s="1">
        <v>45799</v>
      </c>
      <c r="B97">
        <v>97</v>
      </c>
      <c r="C97">
        <v>96.99</v>
      </c>
      <c r="D97">
        <v>97</v>
      </c>
      <c r="E97">
        <v>96.7</v>
      </c>
      <c r="F97" t="s">
        <v>137</v>
      </c>
      <c r="G97" s="7">
        <v>1E-4</v>
      </c>
      <c r="H97" s="2">
        <f t="shared" si="7"/>
        <v>100.31699999999999</v>
      </c>
      <c r="I97" s="2">
        <f t="shared" si="4"/>
        <v>100.07259999999997</v>
      </c>
      <c r="J97" s="3">
        <f t="shared" si="5"/>
        <v>3.3013844515441981E-2</v>
      </c>
      <c r="K97" s="2">
        <f t="shared" si="6"/>
        <v>0.29999999999999716</v>
      </c>
      <c r="L97" s="2">
        <f t="shared" si="8"/>
        <v>0.88349999999999862</v>
      </c>
    </row>
    <row r="98" spans="1:12" x14ac:dyDescent="0.25">
      <c r="A98" s="1">
        <v>45800</v>
      </c>
      <c r="B98">
        <v>97</v>
      </c>
      <c r="C98">
        <v>97</v>
      </c>
      <c r="D98">
        <v>97</v>
      </c>
      <c r="E98">
        <v>97</v>
      </c>
      <c r="F98" t="s">
        <v>39</v>
      </c>
      <c r="G98" s="7">
        <v>0</v>
      </c>
      <c r="H98" s="2">
        <f t="shared" si="7"/>
        <v>100.017</v>
      </c>
      <c r="I98" s="2">
        <f t="shared" si="4"/>
        <v>99.992599999999953</v>
      </c>
      <c r="J98" s="3">
        <f t="shared" si="5"/>
        <v>3.3013844515441981E-2</v>
      </c>
      <c r="K98" s="2">
        <f t="shared" si="6"/>
        <v>0</v>
      </c>
      <c r="L98" s="2">
        <f t="shared" si="8"/>
        <v>0.8284999999999989</v>
      </c>
    </row>
    <row r="99" spans="1:12" x14ac:dyDescent="0.25">
      <c r="A99" s="1">
        <v>45803</v>
      </c>
      <c r="B99">
        <v>96.98</v>
      </c>
      <c r="C99">
        <v>97</v>
      </c>
      <c r="D99">
        <v>97</v>
      </c>
      <c r="E99">
        <v>96.95</v>
      </c>
      <c r="F99" t="s">
        <v>42</v>
      </c>
      <c r="G99" s="7">
        <v>-2.0000000000000001E-4</v>
      </c>
      <c r="H99" s="2">
        <f t="shared" si="7"/>
        <v>99.741500000000002</v>
      </c>
      <c r="I99" s="2">
        <f t="shared" si="4"/>
        <v>99.912399999999948</v>
      </c>
      <c r="J99" s="3">
        <f t="shared" si="5"/>
        <v>3.2800851970181011E-2</v>
      </c>
      <c r="K99" s="2">
        <f t="shared" si="6"/>
        <v>4.9999999999997158E-2</v>
      </c>
      <c r="L99" s="2">
        <f t="shared" si="8"/>
        <v>0.78099999999999881</v>
      </c>
    </row>
    <row r="100" spans="1:12" x14ac:dyDescent="0.25">
      <c r="A100" s="1">
        <v>45804</v>
      </c>
      <c r="B100">
        <v>96.5</v>
      </c>
      <c r="C100">
        <v>96.97</v>
      </c>
      <c r="D100">
        <v>96.97</v>
      </c>
      <c r="E100">
        <v>96.3</v>
      </c>
      <c r="F100" t="s">
        <v>29</v>
      </c>
      <c r="G100" s="7">
        <v>-4.8999999999999998E-3</v>
      </c>
      <c r="H100" s="2">
        <f t="shared" si="7"/>
        <v>99.442000000000007</v>
      </c>
      <c r="I100" s="2">
        <f t="shared" si="4"/>
        <v>99.84039999999996</v>
      </c>
      <c r="J100" s="3">
        <f t="shared" si="5"/>
        <v>2.7689030883919052E-2</v>
      </c>
      <c r="K100" s="2">
        <f t="shared" si="6"/>
        <v>0.67000000000000171</v>
      </c>
      <c r="L100" s="2">
        <f t="shared" si="8"/>
        <v>0.76549999999999874</v>
      </c>
    </row>
    <row r="101" spans="1:12" x14ac:dyDescent="0.25">
      <c r="A101" s="1">
        <v>45805</v>
      </c>
      <c r="B101">
        <v>96.4</v>
      </c>
      <c r="C101">
        <v>96.7</v>
      </c>
      <c r="D101">
        <v>96.7</v>
      </c>
      <c r="E101">
        <v>96.4</v>
      </c>
      <c r="F101" t="s">
        <v>115</v>
      </c>
      <c r="G101" s="7">
        <v>-1E-3</v>
      </c>
      <c r="H101" s="2">
        <f t="shared" si="7"/>
        <v>99.092000000000013</v>
      </c>
      <c r="I101" s="2">
        <f t="shared" si="4"/>
        <v>99.748399999999947</v>
      </c>
      <c r="J101" s="3">
        <f t="shared" si="5"/>
        <v>2.6624068157614422E-2</v>
      </c>
      <c r="K101" s="2">
        <f t="shared" si="6"/>
        <v>0.29999999999999716</v>
      </c>
      <c r="L101" s="2">
        <f t="shared" si="8"/>
        <v>0.70649999999999835</v>
      </c>
    </row>
    <row r="102" spans="1:12" x14ac:dyDescent="0.25">
      <c r="A102" s="1">
        <v>45806</v>
      </c>
      <c r="B102">
        <v>95.8</v>
      </c>
      <c r="C102">
        <v>96.39</v>
      </c>
      <c r="D102">
        <v>96.5</v>
      </c>
      <c r="E102">
        <v>93.01</v>
      </c>
      <c r="F102" t="s">
        <v>138</v>
      </c>
      <c r="G102" s="7">
        <v>-6.1999999999999998E-3</v>
      </c>
      <c r="H102" s="2">
        <f t="shared" si="7"/>
        <v>98.731999999999999</v>
      </c>
      <c r="I102" s="2">
        <f t="shared" si="4"/>
        <v>99.626399999999961</v>
      </c>
      <c r="J102" s="3">
        <f t="shared" si="5"/>
        <v>2.0234291799786863E-2</v>
      </c>
      <c r="K102" s="2">
        <f t="shared" si="6"/>
        <v>3.4899999999999949</v>
      </c>
      <c r="L102" s="2">
        <f t="shared" si="8"/>
        <v>0.83199999999999785</v>
      </c>
    </row>
    <row r="103" spans="1:12" x14ac:dyDescent="0.25">
      <c r="A103" s="1">
        <v>45807</v>
      </c>
      <c r="B103">
        <v>94.5</v>
      </c>
      <c r="C103">
        <v>94.5</v>
      </c>
      <c r="D103">
        <v>95.25</v>
      </c>
      <c r="E103">
        <v>94.1</v>
      </c>
      <c r="F103" t="s">
        <v>49</v>
      </c>
      <c r="G103" s="7">
        <v>-1.3599999999999999E-2</v>
      </c>
      <c r="H103" s="2">
        <f t="shared" si="7"/>
        <v>98.282000000000011</v>
      </c>
      <c r="I103" s="2">
        <f t="shared" si="4"/>
        <v>99.504399999999947</v>
      </c>
      <c r="J103" s="3">
        <f t="shared" si="5"/>
        <v>6.389776357827337E-3</v>
      </c>
      <c r="K103" s="2">
        <f t="shared" si="6"/>
        <v>1.1500000000000057</v>
      </c>
      <c r="L103" s="2">
        <f t="shared" si="8"/>
        <v>0.84449999999999792</v>
      </c>
    </row>
    <row r="104" spans="1:12" x14ac:dyDescent="0.25">
      <c r="A104" s="1">
        <v>45810</v>
      </c>
      <c r="B104">
        <v>94.5</v>
      </c>
      <c r="C104">
        <v>94.5</v>
      </c>
      <c r="D104">
        <v>95</v>
      </c>
      <c r="E104">
        <v>93.5</v>
      </c>
      <c r="F104" t="s">
        <v>27</v>
      </c>
      <c r="G104" s="7">
        <v>0</v>
      </c>
      <c r="H104" s="2">
        <f t="shared" si="7"/>
        <v>97.832000000000008</v>
      </c>
      <c r="I104" s="2">
        <f t="shared" si="4"/>
        <v>99.382599999999968</v>
      </c>
      <c r="J104" s="3">
        <f t="shared" si="5"/>
        <v>6.389776357827337E-3</v>
      </c>
      <c r="K104" s="2">
        <f t="shared" si="6"/>
        <v>1.5</v>
      </c>
      <c r="L104" s="2">
        <f t="shared" si="8"/>
        <v>0.9189999999999976</v>
      </c>
    </row>
    <row r="105" spans="1:12" x14ac:dyDescent="0.25">
      <c r="A105" s="1">
        <v>45811</v>
      </c>
      <c r="B105">
        <v>94</v>
      </c>
      <c r="C105">
        <v>94.5</v>
      </c>
      <c r="D105">
        <v>95</v>
      </c>
      <c r="E105">
        <v>93.4</v>
      </c>
      <c r="F105" t="s">
        <v>139</v>
      </c>
      <c r="G105" s="7">
        <v>-5.3E-3</v>
      </c>
      <c r="H105" s="2">
        <f t="shared" si="7"/>
        <v>97.358500000000006</v>
      </c>
      <c r="I105" s="2">
        <f t="shared" si="4"/>
        <v>99.264599999999973</v>
      </c>
      <c r="J105" s="3">
        <f t="shared" si="5"/>
        <v>1.0649627263044081E-3</v>
      </c>
      <c r="K105" s="2">
        <f t="shared" si="6"/>
        <v>1.5999999999999943</v>
      </c>
      <c r="L105" s="2">
        <f t="shared" si="8"/>
        <v>0.99749999999999728</v>
      </c>
    </row>
    <row r="106" spans="1:12" x14ac:dyDescent="0.25">
      <c r="A106" s="1">
        <v>45812</v>
      </c>
      <c r="B106">
        <v>94.2</v>
      </c>
      <c r="C106">
        <v>95</v>
      </c>
      <c r="D106">
        <v>95</v>
      </c>
      <c r="E106">
        <v>94</v>
      </c>
      <c r="F106" t="s">
        <v>140</v>
      </c>
      <c r="G106" s="7">
        <v>2.0999999999999999E-3</v>
      </c>
      <c r="H106" s="2">
        <f t="shared" si="7"/>
        <v>96.89500000000001</v>
      </c>
      <c r="I106" s="2">
        <f t="shared" si="4"/>
        <v>99.15419999999996</v>
      </c>
      <c r="J106" s="3">
        <f t="shared" si="5"/>
        <v>3.1948881789136685E-3</v>
      </c>
      <c r="K106" s="2">
        <f t="shared" si="6"/>
        <v>1</v>
      </c>
      <c r="L106" s="2">
        <f t="shared" si="8"/>
        <v>0.94749999999999734</v>
      </c>
    </row>
    <row r="107" spans="1:12" x14ac:dyDescent="0.25">
      <c r="A107" s="1">
        <v>45813</v>
      </c>
      <c r="B107">
        <v>94.1</v>
      </c>
      <c r="C107">
        <v>94.2</v>
      </c>
      <c r="D107">
        <v>94.2</v>
      </c>
      <c r="E107">
        <v>94.09</v>
      </c>
      <c r="F107" t="s">
        <v>71</v>
      </c>
      <c r="G107" s="7">
        <v>-1.1000000000000001E-3</v>
      </c>
      <c r="H107" s="2">
        <f t="shared" si="7"/>
        <v>96.429999999999993</v>
      </c>
      <c r="I107" s="2">
        <f t="shared" si="4"/>
        <v>99.04219999999998</v>
      </c>
      <c r="J107" s="3">
        <f t="shared" si="5"/>
        <v>2.1299254526090383E-3</v>
      </c>
      <c r="K107" s="2">
        <f t="shared" si="6"/>
        <v>0.10999999999999943</v>
      </c>
      <c r="L107" s="2">
        <f t="shared" si="8"/>
        <v>0.87799999999999723</v>
      </c>
    </row>
    <row r="108" spans="1:12" x14ac:dyDescent="0.25">
      <c r="A108" s="1">
        <v>45817</v>
      </c>
      <c r="B108">
        <v>94</v>
      </c>
      <c r="C108">
        <v>94.2</v>
      </c>
      <c r="D108">
        <v>94.25</v>
      </c>
      <c r="E108">
        <v>93</v>
      </c>
      <c r="F108" t="s">
        <v>141</v>
      </c>
      <c r="G108" s="7">
        <v>-1.1000000000000001E-3</v>
      </c>
      <c r="H108" s="2">
        <f t="shared" si="7"/>
        <v>95.957499999999996</v>
      </c>
      <c r="I108" s="2">
        <f t="shared" si="4"/>
        <v>98.944199999999981</v>
      </c>
      <c r="J108" s="3">
        <f t="shared" si="5"/>
        <v>1.0649627263044081E-3</v>
      </c>
      <c r="K108" s="2">
        <f t="shared" si="6"/>
        <v>1.25</v>
      </c>
      <c r="L108" s="2">
        <f t="shared" si="8"/>
        <v>0.88799999999999746</v>
      </c>
    </row>
    <row r="109" spans="1:12" x14ac:dyDescent="0.25">
      <c r="A109" s="1">
        <v>45818</v>
      </c>
      <c r="B109">
        <v>94.08</v>
      </c>
      <c r="C109">
        <v>94</v>
      </c>
      <c r="D109">
        <v>94.1</v>
      </c>
      <c r="E109">
        <v>93.61</v>
      </c>
      <c r="F109" t="s">
        <v>79</v>
      </c>
      <c r="G109" s="7">
        <v>8.9999999999999998E-4</v>
      </c>
      <c r="H109" s="2">
        <f t="shared" si="7"/>
        <v>95.796499999999995</v>
      </c>
      <c r="I109" s="2">
        <f t="shared" si="4"/>
        <v>98.847799999999992</v>
      </c>
      <c r="J109" s="3">
        <f t="shared" si="5"/>
        <v>1.9169329073480679E-3</v>
      </c>
      <c r="K109" s="2">
        <f t="shared" si="6"/>
        <v>0.48999999999999488</v>
      </c>
      <c r="L109" s="2">
        <f t="shared" si="8"/>
        <v>0.87249999999999728</v>
      </c>
    </row>
    <row r="110" spans="1:12" x14ac:dyDescent="0.25">
      <c r="A110" s="1">
        <v>45819</v>
      </c>
      <c r="B110">
        <v>93.49</v>
      </c>
      <c r="C110">
        <v>94.1</v>
      </c>
      <c r="D110">
        <v>94.1</v>
      </c>
      <c r="E110">
        <v>91.06</v>
      </c>
      <c r="F110" t="s">
        <v>142</v>
      </c>
      <c r="G110" s="7">
        <v>-6.3E-3</v>
      </c>
      <c r="H110" s="2">
        <f t="shared" si="7"/>
        <v>95.616</v>
      </c>
      <c r="I110" s="2">
        <f t="shared" si="4"/>
        <v>98.744399999999985</v>
      </c>
      <c r="J110" s="3">
        <f t="shared" si="5"/>
        <v>-4.3663471778488949E-3</v>
      </c>
      <c r="K110" s="2">
        <f t="shared" si="6"/>
        <v>3.039999999999992</v>
      </c>
      <c r="L110" s="2">
        <f t="shared" si="8"/>
        <v>1.009499999999997</v>
      </c>
    </row>
    <row r="111" spans="1:12" x14ac:dyDescent="0.25">
      <c r="A111" s="1">
        <v>45820</v>
      </c>
      <c r="B111">
        <v>93.3</v>
      </c>
      <c r="C111">
        <v>92.5</v>
      </c>
      <c r="D111">
        <v>93.39</v>
      </c>
      <c r="E111">
        <v>92.02</v>
      </c>
      <c r="F111" t="s">
        <v>143</v>
      </c>
      <c r="G111" s="7">
        <v>-2E-3</v>
      </c>
      <c r="H111" s="2">
        <f t="shared" si="7"/>
        <v>95.430999999999997</v>
      </c>
      <c r="I111" s="2">
        <f t="shared" si="4"/>
        <v>98.632400000000004</v>
      </c>
      <c r="J111" s="3">
        <f t="shared" si="5"/>
        <v>-6.389776357827559E-3</v>
      </c>
      <c r="K111" s="2">
        <f t="shared" si="6"/>
        <v>1.3700000000000045</v>
      </c>
      <c r="L111" s="2">
        <f t="shared" si="8"/>
        <v>1.0679999999999978</v>
      </c>
    </row>
    <row r="112" spans="1:12" x14ac:dyDescent="0.25">
      <c r="A112" s="1">
        <v>45821</v>
      </c>
      <c r="B112">
        <v>92</v>
      </c>
      <c r="C112">
        <v>92.2</v>
      </c>
      <c r="D112">
        <v>93.3</v>
      </c>
      <c r="E112">
        <v>92</v>
      </c>
      <c r="F112" t="s">
        <v>144</v>
      </c>
      <c r="G112" s="7">
        <v>-1.3899999999999999E-2</v>
      </c>
      <c r="H112" s="2">
        <f t="shared" si="7"/>
        <v>95.181999999999988</v>
      </c>
      <c r="I112" s="2">
        <f t="shared" si="4"/>
        <v>98.502399999999994</v>
      </c>
      <c r="J112" s="3">
        <f t="shared" si="5"/>
        <v>-2.0234291799787085E-2</v>
      </c>
      <c r="K112" s="2">
        <f t="shared" si="6"/>
        <v>1.2999999999999972</v>
      </c>
      <c r="L112" s="2">
        <f t="shared" si="8"/>
        <v>1.1139999999999979</v>
      </c>
    </row>
    <row r="113" spans="1:12" x14ac:dyDescent="0.25">
      <c r="A113" s="1">
        <v>45824</v>
      </c>
      <c r="B113">
        <v>90.65</v>
      </c>
      <c r="C113">
        <v>92</v>
      </c>
      <c r="D113">
        <v>92</v>
      </c>
      <c r="E113">
        <v>90.2</v>
      </c>
      <c r="F113" t="s">
        <v>145</v>
      </c>
      <c r="G113" s="7">
        <v>-1.47E-2</v>
      </c>
      <c r="H113" s="2">
        <f t="shared" si="7"/>
        <v>94.859499999999997</v>
      </c>
      <c r="I113" s="2">
        <f t="shared" si="4"/>
        <v>98.345399999999984</v>
      </c>
      <c r="J113" s="3">
        <f t="shared" si="5"/>
        <v>-3.4611288604898816E-2</v>
      </c>
      <c r="K113" s="2">
        <f t="shared" si="6"/>
        <v>1.7999999999999972</v>
      </c>
      <c r="L113" s="2">
        <f t="shared" si="8"/>
        <v>1.1814999999999984</v>
      </c>
    </row>
    <row r="114" spans="1:12" x14ac:dyDescent="0.25">
      <c r="A114" s="1">
        <v>45825</v>
      </c>
      <c r="B114">
        <v>90.5</v>
      </c>
      <c r="C114">
        <v>90.65</v>
      </c>
      <c r="D114">
        <v>90.98</v>
      </c>
      <c r="E114">
        <v>90</v>
      </c>
      <c r="F114" t="s">
        <v>146</v>
      </c>
      <c r="G114" s="7">
        <v>-1.6999999999999999E-3</v>
      </c>
      <c r="H114" s="2">
        <f t="shared" si="7"/>
        <v>94.53949999999999</v>
      </c>
      <c r="I114" s="2">
        <f t="shared" si="4"/>
        <v>98.185399999999987</v>
      </c>
      <c r="J114" s="3">
        <f t="shared" si="5"/>
        <v>-3.6208732694355761E-2</v>
      </c>
      <c r="K114" s="2">
        <f t="shared" si="6"/>
        <v>0.98000000000000398</v>
      </c>
      <c r="L114" s="2">
        <f t="shared" si="8"/>
        <v>1.220499999999999</v>
      </c>
    </row>
    <row r="115" spans="1:12" x14ac:dyDescent="0.25">
      <c r="A115" s="1">
        <v>45826</v>
      </c>
      <c r="B115">
        <v>90.2</v>
      </c>
      <c r="C115">
        <v>90.6</v>
      </c>
      <c r="D115">
        <v>90.6</v>
      </c>
      <c r="E115">
        <v>90</v>
      </c>
      <c r="F115" t="s">
        <v>11</v>
      </c>
      <c r="G115" s="7">
        <v>-3.3E-3</v>
      </c>
      <c r="H115" s="2">
        <f t="shared" si="7"/>
        <v>94.309499999999986</v>
      </c>
      <c r="I115" s="2">
        <f t="shared" si="4"/>
        <v>98.0124</v>
      </c>
      <c r="J115" s="3">
        <f t="shared" si="5"/>
        <v>-3.9403620873269429E-2</v>
      </c>
      <c r="K115" s="2">
        <f t="shared" si="6"/>
        <v>0.59999999999999432</v>
      </c>
      <c r="L115" s="2">
        <f t="shared" si="8"/>
        <v>1.1049999999999982</v>
      </c>
    </row>
    <row r="116" spans="1:12" x14ac:dyDescent="0.25">
      <c r="A116" s="1">
        <v>45827</v>
      </c>
      <c r="B116">
        <v>92.99</v>
      </c>
      <c r="C116">
        <v>90.38</v>
      </c>
      <c r="D116">
        <v>93</v>
      </c>
      <c r="E116">
        <v>90.2</v>
      </c>
      <c r="F116" t="s">
        <v>71</v>
      </c>
      <c r="G116" s="7">
        <v>3.09E-2</v>
      </c>
      <c r="H116" s="2">
        <f t="shared" si="7"/>
        <v>94.109499999999997</v>
      </c>
      <c r="I116" s="2">
        <f t="shared" ref="I116:I179" si="9">AVERAGE(B67:B116)</f>
        <v>97.91219999999997</v>
      </c>
      <c r="J116" s="3">
        <f t="shared" si="5"/>
        <v>-9.6911608093718238E-3</v>
      </c>
      <c r="K116" s="2">
        <f t="shared" si="6"/>
        <v>2.7999999999999972</v>
      </c>
      <c r="L116" s="2">
        <f t="shared" si="8"/>
        <v>1.1899999999999984</v>
      </c>
    </row>
    <row r="117" spans="1:12" x14ac:dyDescent="0.25">
      <c r="A117" s="1">
        <v>45828</v>
      </c>
      <c r="B117">
        <v>92.79</v>
      </c>
      <c r="C117">
        <v>92.99</v>
      </c>
      <c r="D117">
        <v>92.99</v>
      </c>
      <c r="E117">
        <v>92.5</v>
      </c>
      <c r="F117" t="s">
        <v>46</v>
      </c>
      <c r="G117" s="7">
        <v>-2.2000000000000001E-3</v>
      </c>
      <c r="H117" s="2">
        <f t="shared" si="7"/>
        <v>93.899000000000001</v>
      </c>
      <c r="I117" s="2">
        <f t="shared" si="9"/>
        <v>97.795999999999992</v>
      </c>
      <c r="J117" s="3">
        <f t="shared" si="5"/>
        <v>-1.1821086261980862E-2</v>
      </c>
      <c r="K117" s="2">
        <f t="shared" si="6"/>
        <v>0.48999999999999488</v>
      </c>
      <c r="L117" s="2">
        <f t="shared" si="8"/>
        <v>1.1994999999999982</v>
      </c>
    </row>
    <row r="118" spans="1:12" x14ac:dyDescent="0.25">
      <c r="A118" s="1">
        <v>45831</v>
      </c>
      <c r="B118">
        <v>92.02</v>
      </c>
      <c r="C118">
        <v>92.79</v>
      </c>
      <c r="D118">
        <v>92.79</v>
      </c>
      <c r="E118">
        <v>92</v>
      </c>
      <c r="F118" t="s">
        <v>58</v>
      </c>
      <c r="G118" s="7">
        <v>-8.3000000000000001E-3</v>
      </c>
      <c r="H118" s="2">
        <f t="shared" si="7"/>
        <v>93.65</v>
      </c>
      <c r="I118" s="2">
        <f t="shared" si="9"/>
        <v>97.664400000000001</v>
      </c>
      <c r="J118" s="3">
        <f t="shared" si="5"/>
        <v>-2.0021299254526226E-2</v>
      </c>
      <c r="K118" s="2">
        <f t="shared" si="6"/>
        <v>0.79000000000000625</v>
      </c>
      <c r="L118" s="2">
        <f t="shared" si="8"/>
        <v>1.2389999999999985</v>
      </c>
    </row>
    <row r="119" spans="1:12" x14ac:dyDescent="0.25">
      <c r="A119" s="1">
        <v>45832</v>
      </c>
      <c r="B119">
        <v>94</v>
      </c>
      <c r="C119">
        <v>92.2</v>
      </c>
      <c r="D119">
        <v>94.28</v>
      </c>
      <c r="E119">
        <v>92.2</v>
      </c>
      <c r="F119" t="s">
        <v>110</v>
      </c>
      <c r="G119" s="7">
        <v>2.1499999999999998E-2</v>
      </c>
      <c r="H119" s="2">
        <f t="shared" si="7"/>
        <v>93.501000000000005</v>
      </c>
      <c r="I119" s="2">
        <f t="shared" si="9"/>
        <v>97.564799999999991</v>
      </c>
      <c r="J119" s="3">
        <f t="shared" si="5"/>
        <v>1.0649627263044081E-3</v>
      </c>
      <c r="K119" s="2">
        <f t="shared" si="6"/>
        <v>2.0799999999999983</v>
      </c>
      <c r="L119" s="2">
        <f t="shared" si="8"/>
        <v>1.3404999999999987</v>
      </c>
    </row>
    <row r="120" spans="1:12" x14ac:dyDescent="0.25">
      <c r="A120" s="1">
        <v>45833</v>
      </c>
      <c r="B120">
        <v>94</v>
      </c>
      <c r="C120">
        <v>94</v>
      </c>
      <c r="D120">
        <v>94</v>
      </c>
      <c r="E120">
        <v>93</v>
      </c>
      <c r="F120" t="s">
        <v>147</v>
      </c>
      <c r="G120" s="7">
        <v>0</v>
      </c>
      <c r="H120" s="2">
        <f t="shared" si="7"/>
        <v>93.376000000000005</v>
      </c>
      <c r="I120" s="2">
        <f t="shared" si="9"/>
        <v>97.460800000000006</v>
      </c>
      <c r="J120" s="3">
        <f t="shared" si="5"/>
        <v>1.0649627263044081E-3</v>
      </c>
      <c r="K120" s="2">
        <f t="shared" si="6"/>
        <v>1</v>
      </c>
      <c r="L120" s="2">
        <f t="shared" si="8"/>
        <v>1.3569999999999987</v>
      </c>
    </row>
    <row r="121" spans="1:12" x14ac:dyDescent="0.25">
      <c r="A121" s="1">
        <v>45835</v>
      </c>
      <c r="B121">
        <v>94.15</v>
      </c>
      <c r="C121">
        <v>94</v>
      </c>
      <c r="D121">
        <v>94.15</v>
      </c>
      <c r="E121">
        <v>94</v>
      </c>
      <c r="F121" t="s">
        <v>19</v>
      </c>
      <c r="G121" s="7">
        <v>1.6000000000000001E-3</v>
      </c>
      <c r="H121" s="2">
        <f t="shared" si="7"/>
        <v>93.263500000000008</v>
      </c>
      <c r="I121" s="2">
        <f t="shared" si="9"/>
        <v>97.343999999999994</v>
      </c>
      <c r="J121" s="3">
        <f t="shared" si="5"/>
        <v>2.6624068157614644E-3</v>
      </c>
      <c r="K121" s="2">
        <f t="shared" si="6"/>
        <v>0.15000000000000568</v>
      </c>
      <c r="L121" s="2">
        <f t="shared" si="8"/>
        <v>1.349499999999999</v>
      </c>
    </row>
    <row r="122" spans="1:12" x14ac:dyDescent="0.25">
      <c r="A122" s="1">
        <v>45838</v>
      </c>
      <c r="B122">
        <v>94</v>
      </c>
      <c r="C122">
        <v>94</v>
      </c>
      <c r="D122">
        <v>94.15</v>
      </c>
      <c r="E122">
        <v>92.7</v>
      </c>
      <c r="F122" t="s">
        <v>46</v>
      </c>
      <c r="G122" s="7">
        <v>-1.6000000000000001E-3</v>
      </c>
      <c r="H122" s="2">
        <f t="shared" si="7"/>
        <v>93.173500000000004</v>
      </c>
      <c r="I122" s="2">
        <f t="shared" si="9"/>
        <v>97.224199999999982</v>
      </c>
      <c r="J122" s="3">
        <f t="shared" si="5"/>
        <v>1.0649627263044081E-3</v>
      </c>
      <c r="K122" s="2">
        <f t="shared" si="6"/>
        <v>1.4500000000000028</v>
      </c>
      <c r="L122" s="2">
        <f t="shared" si="8"/>
        <v>1.2474999999999994</v>
      </c>
    </row>
    <row r="123" spans="1:12" x14ac:dyDescent="0.25">
      <c r="A123" s="1">
        <v>45839</v>
      </c>
      <c r="B123">
        <v>94</v>
      </c>
      <c r="C123">
        <v>93.5</v>
      </c>
      <c r="D123">
        <v>94.15</v>
      </c>
      <c r="E123">
        <v>93.5</v>
      </c>
      <c r="F123" t="s">
        <v>30</v>
      </c>
      <c r="G123" s="7">
        <v>0</v>
      </c>
      <c r="H123" s="2">
        <f t="shared" si="7"/>
        <v>93.148499999999999</v>
      </c>
      <c r="I123" s="2">
        <f t="shared" si="9"/>
        <v>97.064400000000006</v>
      </c>
      <c r="J123" s="3">
        <f t="shared" si="5"/>
        <v>1.0649627263044081E-3</v>
      </c>
      <c r="K123" s="2">
        <f t="shared" si="6"/>
        <v>0.65000000000000568</v>
      </c>
      <c r="L123" s="2">
        <f t="shared" si="8"/>
        <v>1.2224999999999995</v>
      </c>
    </row>
    <row r="124" spans="1:12" x14ac:dyDescent="0.25">
      <c r="A124" s="1">
        <v>45840</v>
      </c>
      <c r="B124">
        <v>94</v>
      </c>
      <c r="C124">
        <v>94.15</v>
      </c>
      <c r="D124">
        <v>94.15</v>
      </c>
      <c r="E124">
        <v>93.5</v>
      </c>
      <c r="F124" t="s">
        <v>23</v>
      </c>
      <c r="G124" s="7">
        <v>0</v>
      </c>
      <c r="H124" s="2">
        <f t="shared" si="7"/>
        <v>93.123499999999993</v>
      </c>
      <c r="I124" s="2">
        <f t="shared" si="9"/>
        <v>96.924599999999998</v>
      </c>
      <c r="J124" s="3">
        <f t="shared" si="5"/>
        <v>1.0649627263044081E-3</v>
      </c>
      <c r="K124" s="2">
        <f t="shared" si="6"/>
        <v>0.65000000000000568</v>
      </c>
      <c r="L124" s="2">
        <f t="shared" si="8"/>
        <v>1.1799999999999997</v>
      </c>
    </row>
    <row r="125" spans="1:12" x14ac:dyDescent="0.25">
      <c r="A125" s="1">
        <v>45841</v>
      </c>
      <c r="B125">
        <v>94</v>
      </c>
      <c r="C125">
        <v>93.01</v>
      </c>
      <c r="D125">
        <v>94</v>
      </c>
      <c r="E125">
        <v>91.5</v>
      </c>
      <c r="F125" t="s">
        <v>16</v>
      </c>
      <c r="G125" s="7">
        <v>0</v>
      </c>
      <c r="H125" s="2">
        <f t="shared" si="7"/>
        <v>93.123500000000007</v>
      </c>
      <c r="I125" s="2">
        <f t="shared" si="9"/>
        <v>96.767199999999988</v>
      </c>
      <c r="J125" s="3">
        <f t="shared" si="5"/>
        <v>1.0649627263044081E-3</v>
      </c>
      <c r="K125" s="2">
        <f t="shared" si="6"/>
        <v>2.5</v>
      </c>
      <c r="L125" s="2">
        <f t="shared" si="8"/>
        <v>1.2250000000000001</v>
      </c>
    </row>
    <row r="126" spans="1:12" x14ac:dyDescent="0.25">
      <c r="A126" s="1">
        <v>45842</v>
      </c>
      <c r="B126">
        <v>94</v>
      </c>
      <c r="C126">
        <v>93.7</v>
      </c>
      <c r="D126">
        <v>95</v>
      </c>
      <c r="E126">
        <v>93.7</v>
      </c>
      <c r="F126" t="s">
        <v>148</v>
      </c>
      <c r="G126" s="7">
        <v>0</v>
      </c>
      <c r="H126" s="2">
        <f t="shared" si="7"/>
        <v>93.113500000000016</v>
      </c>
      <c r="I126" s="2">
        <f t="shared" si="9"/>
        <v>96.609799999999993</v>
      </c>
      <c r="J126" s="3">
        <f t="shared" si="5"/>
        <v>1.0649627263044081E-3</v>
      </c>
      <c r="K126" s="2">
        <f t="shared" si="6"/>
        <v>1.2999999999999972</v>
      </c>
      <c r="L126" s="2">
        <f t="shared" si="8"/>
        <v>1.2399999999999998</v>
      </c>
    </row>
    <row r="127" spans="1:12" x14ac:dyDescent="0.25">
      <c r="A127" s="1">
        <v>45845</v>
      </c>
      <c r="B127">
        <v>94</v>
      </c>
      <c r="C127">
        <v>94</v>
      </c>
      <c r="D127">
        <v>94.99</v>
      </c>
      <c r="E127">
        <v>94</v>
      </c>
      <c r="F127" t="s">
        <v>149</v>
      </c>
      <c r="G127" s="7">
        <v>0</v>
      </c>
      <c r="H127" s="2">
        <f t="shared" si="7"/>
        <v>93.108500000000006</v>
      </c>
      <c r="I127" s="2">
        <f t="shared" si="9"/>
        <v>96.449799999999996</v>
      </c>
      <c r="J127" s="3">
        <f t="shared" si="5"/>
        <v>1.0649627263044081E-3</v>
      </c>
      <c r="K127" s="2">
        <f t="shared" si="6"/>
        <v>0.98999999999999488</v>
      </c>
      <c r="L127" s="2">
        <f t="shared" si="8"/>
        <v>1.2839999999999996</v>
      </c>
    </row>
    <row r="128" spans="1:12" x14ac:dyDescent="0.25">
      <c r="A128" s="1">
        <v>45846</v>
      </c>
      <c r="B128">
        <v>94</v>
      </c>
      <c r="C128">
        <v>93.99</v>
      </c>
      <c r="D128">
        <v>94.2</v>
      </c>
      <c r="E128">
        <v>93.8</v>
      </c>
      <c r="F128" t="s">
        <v>150</v>
      </c>
      <c r="G128" s="7">
        <v>0</v>
      </c>
      <c r="H128" s="2">
        <f t="shared" si="7"/>
        <v>93.108500000000006</v>
      </c>
      <c r="I128" s="2">
        <f t="shared" si="9"/>
        <v>96.269799999999975</v>
      </c>
      <c r="J128" s="3">
        <f t="shared" si="5"/>
        <v>1.0649627263044081E-3</v>
      </c>
      <c r="K128" s="2">
        <f t="shared" si="6"/>
        <v>0.40000000000000568</v>
      </c>
      <c r="L128" s="2">
        <f t="shared" si="8"/>
        <v>1.2414999999999998</v>
      </c>
    </row>
    <row r="129" spans="1:12" x14ac:dyDescent="0.25">
      <c r="A129" s="1">
        <v>45847</v>
      </c>
      <c r="B129">
        <v>94</v>
      </c>
      <c r="C129">
        <v>94</v>
      </c>
      <c r="D129">
        <v>94</v>
      </c>
      <c r="E129">
        <v>93.8</v>
      </c>
      <c r="F129" t="s">
        <v>65</v>
      </c>
      <c r="G129" s="7">
        <v>0</v>
      </c>
      <c r="H129" s="2">
        <f t="shared" si="7"/>
        <v>93.104500000000002</v>
      </c>
      <c r="I129" s="2">
        <f t="shared" si="9"/>
        <v>96.1</v>
      </c>
      <c r="J129" s="3">
        <f t="shared" si="5"/>
        <v>1.0649627263044081E-3</v>
      </c>
      <c r="K129" s="2">
        <f t="shared" si="6"/>
        <v>0.20000000000000284</v>
      </c>
      <c r="L129" s="2">
        <f t="shared" si="8"/>
        <v>1.2270000000000003</v>
      </c>
    </row>
    <row r="130" spans="1:12" x14ac:dyDescent="0.25">
      <c r="A130" s="1">
        <v>45848</v>
      </c>
      <c r="B130">
        <v>93.9</v>
      </c>
      <c r="C130">
        <v>94</v>
      </c>
      <c r="D130">
        <v>95</v>
      </c>
      <c r="E130">
        <v>93.9</v>
      </c>
      <c r="F130" t="s">
        <v>151</v>
      </c>
      <c r="G130" s="7">
        <v>-1.1000000000000001E-3</v>
      </c>
      <c r="H130" s="2">
        <f t="shared" si="7"/>
        <v>93.125</v>
      </c>
      <c r="I130" s="2">
        <f t="shared" si="9"/>
        <v>95.928200000000004</v>
      </c>
      <c r="J130" s="3">
        <f t="shared" si="5"/>
        <v>0</v>
      </c>
      <c r="K130" s="2">
        <f t="shared" si="6"/>
        <v>1.0999999999999943</v>
      </c>
      <c r="L130" s="2">
        <f t="shared" si="8"/>
        <v>1.1300000000000003</v>
      </c>
    </row>
    <row r="131" spans="1:12" x14ac:dyDescent="0.25">
      <c r="A131" s="1">
        <v>45849</v>
      </c>
      <c r="B131">
        <v>94</v>
      </c>
      <c r="C131">
        <v>94</v>
      </c>
      <c r="D131">
        <v>94</v>
      </c>
      <c r="E131">
        <v>93.9</v>
      </c>
      <c r="F131" t="s">
        <v>152</v>
      </c>
      <c r="G131" s="7">
        <v>1.1000000000000001E-3</v>
      </c>
      <c r="H131" s="2">
        <f t="shared" si="7"/>
        <v>93.16</v>
      </c>
      <c r="I131" s="2">
        <f t="shared" si="9"/>
        <v>95.740199999999987</v>
      </c>
      <c r="J131" s="3">
        <f t="shared" ref="J131:J194" si="10">(B131/$B$2)-1</f>
        <v>1.0649627263044081E-3</v>
      </c>
      <c r="K131" s="2">
        <f t="shared" ref="K131:K194" si="11">D131-E131</f>
        <v>9.9999999999994316E-2</v>
      </c>
      <c r="L131" s="2">
        <f t="shared" si="8"/>
        <v>1.0665</v>
      </c>
    </row>
    <row r="132" spans="1:12" x14ac:dyDescent="0.25">
      <c r="A132" s="1">
        <v>45852</v>
      </c>
      <c r="B132">
        <v>94</v>
      </c>
      <c r="C132">
        <v>94</v>
      </c>
      <c r="D132">
        <v>95.49</v>
      </c>
      <c r="E132">
        <v>93.81</v>
      </c>
      <c r="F132" t="s">
        <v>153</v>
      </c>
      <c r="G132" s="7">
        <v>0</v>
      </c>
      <c r="H132" s="2">
        <f t="shared" si="7"/>
        <v>93.260000000000019</v>
      </c>
      <c r="I132" s="2">
        <f t="shared" si="9"/>
        <v>95.56019999999998</v>
      </c>
      <c r="J132" s="3">
        <f t="shared" si="10"/>
        <v>1.0649627263044081E-3</v>
      </c>
      <c r="K132" s="2">
        <f t="shared" si="11"/>
        <v>1.6799999999999926</v>
      </c>
      <c r="L132" s="2">
        <f t="shared" si="8"/>
        <v>1.0854999999999997</v>
      </c>
    </row>
    <row r="133" spans="1:12" x14ac:dyDescent="0.25">
      <c r="A133" s="1">
        <v>45853</v>
      </c>
      <c r="B133">
        <v>94.98</v>
      </c>
      <c r="C133">
        <v>94</v>
      </c>
      <c r="D133">
        <v>95</v>
      </c>
      <c r="E133">
        <v>94</v>
      </c>
      <c r="F133" t="s">
        <v>154</v>
      </c>
      <c r="G133" s="7">
        <v>1.04E-2</v>
      </c>
      <c r="H133" s="2">
        <f t="shared" si="7"/>
        <v>93.476500000000016</v>
      </c>
      <c r="I133" s="2">
        <f t="shared" si="9"/>
        <v>95.38979999999998</v>
      </c>
      <c r="J133" s="3">
        <f t="shared" si="10"/>
        <v>1.1501597444089517E-2</v>
      </c>
      <c r="K133" s="2">
        <f t="shared" si="11"/>
        <v>1</v>
      </c>
      <c r="L133" s="2">
        <f t="shared" si="8"/>
        <v>1.0454999999999999</v>
      </c>
    </row>
    <row r="134" spans="1:12" x14ac:dyDescent="0.25">
      <c r="A134" s="1">
        <v>45854</v>
      </c>
      <c r="B134">
        <v>94.5</v>
      </c>
      <c r="C134">
        <v>94.01</v>
      </c>
      <c r="D134">
        <v>94.98</v>
      </c>
      <c r="E134">
        <v>94.01</v>
      </c>
      <c r="F134" t="s">
        <v>69</v>
      </c>
      <c r="G134" s="7">
        <v>-5.1000000000000004E-3</v>
      </c>
      <c r="H134" s="2">
        <f t="shared" si="7"/>
        <v>93.676500000000004</v>
      </c>
      <c r="I134" s="2">
        <f t="shared" si="9"/>
        <v>95.209799999999973</v>
      </c>
      <c r="J134" s="3">
        <f t="shared" si="10"/>
        <v>6.389776357827337E-3</v>
      </c>
      <c r="K134" s="2">
        <f t="shared" si="11"/>
        <v>0.96999999999999886</v>
      </c>
      <c r="L134" s="2">
        <f t="shared" si="8"/>
        <v>1.0449999999999995</v>
      </c>
    </row>
    <row r="135" spans="1:12" x14ac:dyDescent="0.25">
      <c r="A135" s="1">
        <v>45855</v>
      </c>
      <c r="B135">
        <v>94.4</v>
      </c>
      <c r="C135">
        <v>94.61</v>
      </c>
      <c r="D135">
        <v>94.98</v>
      </c>
      <c r="E135">
        <v>94.35</v>
      </c>
      <c r="F135" t="s">
        <v>155</v>
      </c>
      <c r="G135" s="7">
        <v>-1.1000000000000001E-3</v>
      </c>
      <c r="H135" s="2">
        <f t="shared" si="7"/>
        <v>93.886500000000012</v>
      </c>
      <c r="I135" s="2">
        <f t="shared" si="9"/>
        <v>95.028399999999962</v>
      </c>
      <c r="J135" s="3">
        <f t="shared" si="10"/>
        <v>5.3248136315229289E-3</v>
      </c>
      <c r="K135" s="2">
        <f t="shared" si="11"/>
        <v>0.63000000000000966</v>
      </c>
      <c r="L135" s="2">
        <f t="shared" si="8"/>
        <v>1.0465000000000004</v>
      </c>
    </row>
    <row r="136" spans="1:12" x14ac:dyDescent="0.25">
      <c r="A136" s="1">
        <v>45856</v>
      </c>
      <c r="B136">
        <v>94.4</v>
      </c>
      <c r="C136">
        <v>94.5</v>
      </c>
      <c r="D136">
        <v>94.5</v>
      </c>
      <c r="E136">
        <v>94</v>
      </c>
      <c r="F136" t="s">
        <v>61</v>
      </c>
      <c r="G136" s="7">
        <v>0</v>
      </c>
      <c r="H136" s="2">
        <f t="shared" si="7"/>
        <v>93.957000000000022</v>
      </c>
      <c r="I136" s="2">
        <f t="shared" si="9"/>
        <v>94.846999999999966</v>
      </c>
      <c r="J136" s="3">
        <f t="shared" si="10"/>
        <v>5.3248136315229289E-3</v>
      </c>
      <c r="K136" s="2">
        <f t="shared" si="11"/>
        <v>0.5</v>
      </c>
      <c r="L136" s="2">
        <f t="shared" si="8"/>
        <v>0.93150000000000044</v>
      </c>
    </row>
    <row r="137" spans="1:12" x14ac:dyDescent="0.25">
      <c r="A137" s="1">
        <v>45859</v>
      </c>
      <c r="B137">
        <v>94.6</v>
      </c>
      <c r="C137">
        <v>94.5</v>
      </c>
      <c r="D137">
        <v>94.6</v>
      </c>
      <c r="E137">
        <v>94.5</v>
      </c>
      <c r="F137" t="s">
        <v>15</v>
      </c>
      <c r="G137" s="7">
        <v>2.0999999999999999E-3</v>
      </c>
      <c r="H137" s="2">
        <f t="shared" si="7"/>
        <v>94.047500000000014</v>
      </c>
      <c r="I137" s="2">
        <f t="shared" si="9"/>
        <v>94.670999999999992</v>
      </c>
      <c r="J137" s="3">
        <f t="shared" si="10"/>
        <v>7.4547390841319672E-3</v>
      </c>
      <c r="K137" s="2">
        <f t="shared" si="11"/>
        <v>9.9999999999994316E-2</v>
      </c>
      <c r="L137" s="2">
        <f t="shared" si="8"/>
        <v>0.91200000000000048</v>
      </c>
    </row>
    <row r="138" spans="1:12" x14ac:dyDescent="0.25">
      <c r="A138" s="1">
        <v>45860</v>
      </c>
      <c r="B138">
        <v>93.8</v>
      </c>
      <c r="C138">
        <v>94.3</v>
      </c>
      <c r="D138">
        <v>94.5</v>
      </c>
      <c r="E138">
        <v>93.8</v>
      </c>
      <c r="F138" t="s">
        <v>73</v>
      </c>
      <c r="G138" s="7">
        <v>-8.5000000000000006E-3</v>
      </c>
      <c r="H138" s="2">
        <f t="shared" si="7"/>
        <v>94.136500000000012</v>
      </c>
      <c r="I138" s="2">
        <f t="shared" si="9"/>
        <v>94.47799999999998</v>
      </c>
      <c r="J138" s="3">
        <f t="shared" si="10"/>
        <v>-1.0649627263046302E-3</v>
      </c>
      <c r="K138" s="2">
        <f t="shared" si="11"/>
        <v>0.70000000000000284</v>
      </c>
      <c r="L138" s="2">
        <f t="shared" si="8"/>
        <v>0.90750000000000031</v>
      </c>
    </row>
    <row r="139" spans="1:12" x14ac:dyDescent="0.25">
      <c r="A139" s="1">
        <v>45861</v>
      </c>
      <c r="B139">
        <v>94.3</v>
      </c>
      <c r="C139">
        <v>94</v>
      </c>
      <c r="D139">
        <v>94.8</v>
      </c>
      <c r="E139">
        <v>93.81</v>
      </c>
      <c r="F139" t="s">
        <v>156</v>
      </c>
      <c r="G139" s="7">
        <v>5.3E-3</v>
      </c>
      <c r="H139" s="2">
        <f t="shared" si="7"/>
        <v>94.151499999999999</v>
      </c>
      <c r="I139" s="2">
        <f t="shared" si="9"/>
        <v>94.417999999999992</v>
      </c>
      <c r="J139" s="3">
        <f t="shared" si="10"/>
        <v>4.2598509052182987E-3</v>
      </c>
      <c r="K139" s="2">
        <f t="shared" si="11"/>
        <v>0.98999999999999488</v>
      </c>
      <c r="L139" s="2">
        <f t="shared" si="8"/>
        <v>0.85300000000000009</v>
      </c>
    </row>
    <row r="140" spans="1:12" x14ac:dyDescent="0.25">
      <c r="A140" s="1">
        <v>45862</v>
      </c>
      <c r="B140">
        <v>94.2</v>
      </c>
      <c r="C140">
        <v>94.3</v>
      </c>
      <c r="D140">
        <v>94.3</v>
      </c>
      <c r="E140">
        <v>94</v>
      </c>
      <c r="F140" t="s">
        <v>105</v>
      </c>
      <c r="G140" s="7">
        <v>-1.1000000000000001E-3</v>
      </c>
      <c r="H140" s="2">
        <f t="shared" si="7"/>
        <v>94.161500000000004</v>
      </c>
      <c r="I140" s="2">
        <f t="shared" si="9"/>
        <v>94.359999999999985</v>
      </c>
      <c r="J140" s="3">
        <f t="shared" si="10"/>
        <v>3.1948881789136685E-3</v>
      </c>
      <c r="K140" s="2">
        <f t="shared" si="11"/>
        <v>0.29999999999999716</v>
      </c>
      <c r="L140" s="2">
        <f t="shared" si="8"/>
        <v>0.81799999999999995</v>
      </c>
    </row>
    <row r="141" spans="1:12" x14ac:dyDescent="0.25">
      <c r="A141" s="1">
        <v>45866</v>
      </c>
      <c r="B141">
        <v>94.2</v>
      </c>
      <c r="C141">
        <v>94.3</v>
      </c>
      <c r="D141">
        <v>94.3</v>
      </c>
      <c r="E141">
        <v>94</v>
      </c>
      <c r="F141" t="s">
        <v>157</v>
      </c>
      <c r="G141" s="7">
        <v>0</v>
      </c>
      <c r="H141" s="2">
        <f t="shared" si="7"/>
        <v>94.164000000000016</v>
      </c>
      <c r="I141" s="2">
        <f t="shared" si="9"/>
        <v>94.304000000000002</v>
      </c>
      <c r="J141" s="3">
        <f t="shared" si="10"/>
        <v>3.1948881789136685E-3</v>
      </c>
      <c r="K141" s="2">
        <f t="shared" si="11"/>
        <v>0.29999999999999716</v>
      </c>
      <c r="L141" s="2">
        <f t="shared" si="8"/>
        <v>0.82549999999999957</v>
      </c>
    </row>
    <row r="142" spans="1:12" x14ac:dyDescent="0.25">
      <c r="A142" s="1">
        <v>45867</v>
      </c>
      <c r="B142">
        <v>93.8</v>
      </c>
      <c r="C142">
        <v>94</v>
      </c>
      <c r="D142">
        <v>94</v>
      </c>
      <c r="E142">
        <v>93</v>
      </c>
      <c r="F142" t="s">
        <v>37</v>
      </c>
      <c r="G142" s="7">
        <v>-4.1999999999999997E-3</v>
      </c>
      <c r="H142" s="2">
        <f t="shared" si="7"/>
        <v>94.153999999999996</v>
      </c>
      <c r="I142" s="2">
        <f t="shared" si="9"/>
        <v>94.240400000000008</v>
      </c>
      <c r="J142" s="3">
        <f t="shared" si="10"/>
        <v>-1.0649627263046302E-3</v>
      </c>
      <c r="K142" s="2">
        <f t="shared" si="11"/>
        <v>1</v>
      </c>
      <c r="L142" s="2">
        <f t="shared" si="8"/>
        <v>0.80299999999999938</v>
      </c>
    </row>
    <row r="143" spans="1:12" x14ac:dyDescent="0.25">
      <c r="A143" s="1">
        <v>45868</v>
      </c>
      <c r="B143">
        <v>94</v>
      </c>
      <c r="C143">
        <v>94.3</v>
      </c>
      <c r="D143">
        <v>94.3</v>
      </c>
      <c r="E143">
        <v>93.5</v>
      </c>
      <c r="F143" t="s">
        <v>158</v>
      </c>
      <c r="G143" s="7">
        <v>2.0999999999999999E-3</v>
      </c>
      <c r="H143" s="2">
        <f t="shared" si="7"/>
        <v>94.154000000000011</v>
      </c>
      <c r="I143" s="2">
        <f t="shared" si="9"/>
        <v>94.178399999999996</v>
      </c>
      <c r="J143" s="3">
        <f t="shared" si="10"/>
        <v>1.0649627263044081E-3</v>
      </c>
      <c r="K143" s="2">
        <f t="shared" si="11"/>
        <v>0.79999999999999716</v>
      </c>
      <c r="L143" s="2">
        <f t="shared" si="8"/>
        <v>0.810499999999999</v>
      </c>
    </row>
    <row r="144" spans="1:12" x14ac:dyDescent="0.25">
      <c r="A144" s="1">
        <v>45869</v>
      </c>
      <c r="B144">
        <v>94</v>
      </c>
      <c r="C144">
        <v>94.01</v>
      </c>
      <c r="D144">
        <v>94.25</v>
      </c>
      <c r="E144">
        <v>93.81</v>
      </c>
      <c r="F144" t="s">
        <v>72</v>
      </c>
      <c r="G144" s="7">
        <v>0</v>
      </c>
      <c r="H144" s="2">
        <f t="shared" si="7"/>
        <v>94.153999999999996</v>
      </c>
      <c r="I144" s="2">
        <f t="shared" si="9"/>
        <v>94.120399999999989</v>
      </c>
      <c r="J144" s="3">
        <f t="shared" si="10"/>
        <v>1.0649627263044081E-3</v>
      </c>
      <c r="K144" s="2">
        <f t="shared" si="11"/>
        <v>0.43999999999999773</v>
      </c>
      <c r="L144" s="2">
        <f t="shared" si="8"/>
        <v>0.7999999999999986</v>
      </c>
    </row>
    <row r="145" spans="1:12" x14ac:dyDescent="0.25">
      <c r="A145" s="1">
        <v>45870</v>
      </c>
      <c r="B145">
        <v>94</v>
      </c>
      <c r="C145">
        <v>94.3</v>
      </c>
      <c r="D145">
        <v>94.3</v>
      </c>
      <c r="E145">
        <v>93.8</v>
      </c>
      <c r="F145" t="s">
        <v>155</v>
      </c>
      <c r="G145" s="7">
        <v>0</v>
      </c>
      <c r="H145" s="2">
        <f t="shared" si="7"/>
        <v>94.153999999999996</v>
      </c>
      <c r="I145" s="2">
        <f t="shared" si="9"/>
        <v>94.104399999999998</v>
      </c>
      <c r="J145" s="3">
        <f t="shared" si="10"/>
        <v>1.0649627263044081E-3</v>
      </c>
      <c r="K145" s="2">
        <f t="shared" si="11"/>
        <v>0.5</v>
      </c>
      <c r="L145" s="2">
        <f t="shared" si="8"/>
        <v>0.69999999999999862</v>
      </c>
    </row>
    <row r="146" spans="1:12" x14ac:dyDescent="0.25">
      <c r="A146" s="1">
        <v>45873</v>
      </c>
      <c r="B146">
        <v>93.95</v>
      </c>
      <c r="C146">
        <v>94</v>
      </c>
      <c r="D146">
        <v>94</v>
      </c>
      <c r="E146">
        <v>93.5</v>
      </c>
      <c r="F146" t="s">
        <v>35</v>
      </c>
      <c r="G146" s="7">
        <v>-5.0000000000000001E-4</v>
      </c>
      <c r="H146" s="2">
        <f t="shared" si="7"/>
        <v>94.151499999999999</v>
      </c>
      <c r="I146" s="2">
        <f t="shared" si="9"/>
        <v>94.043600000000012</v>
      </c>
      <c r="J146" s="3">
        <f t="shared" si="10"/>
        <v>5.3248136315220407E-4</v>
      </c>
      <c r="K146" s="2">
        <f t="shared" si="11"/>
        <v>0.5</v>
      </c>
      <c r="L146" s="2">
        <f t="shared" si="8"/>
        <v>0.6599999999999987</v>
      </c>
    </row>
    <row r="147" spans="1:12" x14ac:dyDescent="0.25">
      <c r="A147" s="1">
        <v>45874</v>
      </c>
      <c r="B147">
        <v>93.9</v>
      </c>
      <c r="C147">
        <v>93.81</v>
      </c>
      <c r="D147">
        <v>93.9</v>
      </c>
      <c r="E147">
        <v>93.81</v>
      </c>
      <c r="F147" t="s">
        <v>59</v>
      </c>
      <c r="G147" s="7">
        <v>-5.0000000000000001E-4</v>
      </c>
      <c r="H147" s="2">
        <f t="shared" si="7"/>
        <v>94.146500000000003</v>
      </c>
      <c r="I147" s="2">
        <f t="shared" si="9"/>
        <v>93.9816</v>
      </c>
      <c r="J147" s="3">
        <f t="shared" si="10"/>
        <v>0</v>
      </c>
      <c r="K147" s="2">
        <f t="shared" si="11"/>
        <v>9.0000000000003411E-2</v>
      </c>
      <c r="L147" s="2">
        <f t="shared" si="8"/>
        <v>0.6149999999999991</v>
      </c>
    </row>
    <row r="148" spans="1:12" x14ac:dyDescent="0.25">
      <c r="A148" s="1">
        <v>45875</v>
      </c>
      <c r="B148">
        <v>93.9</v>
      </c>
      <c r="C148">
        <v>93.82</v>
      </c>
      <c r="D148">
        <v>93.9</v>
      </c>
      <c r="E148">
        <v>93.82</v>
      </c>
      <c r="F148" t="s">
        <v>13</v>
      </c>
      <c r="G148" s="7">
        <v>0</v>
      </c>
      <c r="H148" s="2">
        <f t="shared" si="7"/>
        <v>94.141500000000008</v>
      </c>
      <c r="I148" s="2">
        <f t="shared" si="9"/>
        <v>93.919599999999988</v>
      </c>
      <c r="J148" s="3">
        <f t="shared" si="10"/>
        <v>0</v>
      </c>
      <c r="K148" s="2">
        <f t="shared" si="11"/>
        <v>8.0000000000012506E-2</v>
      </c>
      <c r="L148" s="2">
        <f t="shared" si="8"/>
        <v>0.59899999999999953</v>
      </c>
    </row>
    <row r="149" spans="1:12" x14ac:dyDescent="0.25">
      <c r="A149" s="1">
        <v>45876</v>
      </c>
      <c r="B149">
        <v>93.9</v>
      </c>
      <c r="C149">
        <v>93.9</v>
      </c>
      <c r="D149">
        <v>93.9</v>
      </c>
      <c r="E149">
        <v>93</v>
      </c>
      <c r="F149" t="s">
        <v>159</v>
      </c>
      <c r="G149" s="7">
        <v>0</v>
      </c>
      <c r="H149" s="2">
        <f t="shared" si="7"/>
        <v>94.136500000000012</v>
      </c>
      <c r="I149" s="2">
        <f t="shared" si="9"/>
        <v>93.857999999999976</v>
      </c>
      <c r="J149" s="3">
        <f t="shared" si="10"/>
        <v>0</v>
      </c>
      <c r="K149" s="2">
        <f t="shared" si="11"/>
        <v>0.90000000000000568</v>
      </c>
      <c r="L149" s="2">
        <f t="shared" si="8"/>
        <v>0.63399999999999967</v>
      </c>
    </row>
    <row r="150" spans="1:12" x14ac:dyDescent="0.25">
      <c r="A150" s="1">
        <v>45877</v>
      </c>
      <c r="B150">
        <v>93.9</v>
      </c>
      <c r="C150">
        <v>93.9</v>
      </c>
      <c r="D150">
        <v>93.9</v>
      </c>
      <c r="E150">
        <v>93.8</v>
      </c>
      <c r="F150" t="s">
        <v>160</v>
      </c>
      <c r="G150" s="7">
        <v>0</v>
      </c>
      <c r="H150" s="2">
        <f t="shared" ref="H150:H213" si="12">AVERAGE(B131:B150)</f>
        <v>94.136500000000012</v>
      </c>
      <c r="I150" s="2">
        <f t="shared" si="9"/>
        <v>93.805999999999969</v>
      </c>
      <c r="J150" s="3">
        <f t="shared" si="10"/>
        <v>0</v>
      </c>
      <c r="K150" s="2">
        <f t="shared" si="11"/>
        <v>0.10000000000000853</v>
      </c>
      <c r="L150" s="2">
        <f t="shared" ref="L150:L213" si="13">AVERAGE(K131:K150)</f>
        <v>0.5840000000000003</v>
      </c>
    </row>
    <row r="151" spans="1:12" x14ac:dyDescent="0.25">
      <c r="A151" s="1">
        <v>45880</v>
      </c>
      <c r="B151">
        <v>93.85</v>
      </c>
      <c r="C151">
        <v>93.9</v>
      </c>
      <c r="D151">
        <v>93.9</v>
      </c>
      <c r="E151">
        <v>93.31</v>
      </c>
      <c r="F151" t="s">
        <v>43</v>
      </c>
      <c r="G151" s="7">
        <v>-5.0000000000000001E-4</v>
      </c>
      <c r="H151" s="2">
        <f t="shared" si="12"/>
        <v>94.129000000000019</v>
      </c>
      <c r="I151" s="2">
        <f t="shared" si="9"/>
        <v>93.754999999999981</v>
      </c>
      <c r="J151" s="3">
        <f t="shared" si="10"/>
        <v>-5.3248136315242611E-4</v>
      </c>
      <c r="K151" s="2">
        <f t="shared" si="11"/>
        <v>0.59000000000000341</v>
      </c>
      <c r="L151" s="2">
        <f t="shared" si="13"/>
        <v>0.60850000000000082</v>
      </c>
    </row>
    <row r="152" spans="1:12" x14ac:dyDescent="0.25">
      <c r="A152" s="1">
        <v>45881</v>
      </c>
      <c r="B152">
        <v>93.7</v>
      </c>
      <c r="C152">
        <v>93.35</v>
      </c>
      <c r="D152">
        <v>93.8</v>
      </c>
      <c r="E152">
        <v>93.35</v>
      </c>
      <c r="F152" t="s">
        <v>32</v>
      </c>
      <c r="G152" s="7">
        <v>-1.6000000000000001E-3</v>
      </c>
      <c r="H152" s="2">
        <f t="shared" si="12"/>
        <v>94.114000000000004</v>
      </c>
      <c r="I152" s="2">
        <f t="shared" si="9"/>
        <v>93.712999999999994</v>
      </c>
      <c r="J152" s="3">
        <f t="shared" si="10"/>
        <v>-2.1299254526091493E-3</v>
      </c>
      <c r="K152" s="2">
        <f t="shared" si="11"/>
        <v>0.45000000000000284</v>
      </c>
      <c r="L152" s="2">
        <f t="shared" si="13"/>
        <v>0.54700000000000126</v>
      </c>
    </row>
    <row r="153" spans="1:12" x14ac:dyDescent="0.25">
      <c r="A153" s="1">
        <v>45883</v>
      </c>
      <c r="B153">
        <v>93.7</v>
      </c>
      <c r="C153">
        <v>93.69</v>
      </c>
      <c r="D153">
        <v>93.7</v>
      </c>
      <c r="E153">
        <v>93</v>
      </c>
      <c r="F153" t="s">
        <v>33</v>
      </c>
      <c r="G153" s="7">
        <v>0</v>
      </c>
      <c r="H153" s="2">
        <f t="shared" si="12"/>
        <v>94.050000000000026</v>
      </c>
      <c r="I153" s="2">
        <f t="shared" si="9"/>
        <v>93.696999999999989</v>
      </c>
      <c r="J153" s="3">
        <f t="shared" si="10"/>
        <v>-2.1299254526091493E-3</v>
      </c>
      <c r="K153" s="2">
        <f t="shared" si="11"/>
        <v>0.70000000000000284</v>
      </c>
      <c r="L153" s="2">
        <f t="shared" si="13"/>
        <v>0.53200000000000147</v>
      </c>
    </row>
    <row r="154" spans="1:12" x14ac:dyDescent="0.25">
      <c r="A154" s="1">
        <v>45884</v>
      </c>
      <c r="B154">
        <v>93.68</v>
      </c>
      <c r="C154">
        <v>93.3</v>
      </c>
      <c r="D154">
        <v>93.68</v>
      </c>
      <c r="E154">
        <v>93.3</v>
      </c>
      <c r="F154" t="s">
        <v>51</v>
      </c>
      <c r="G154" s="7">
        <v>-2.0000000000000001E-4</v>
      </c>
      <c r="H154" s="2">
        <f t="shared" si="12"/>
        <v>94.009000000000029</v>
      </c>
      <c r="I154" s="2">
        <f t="shared" si="9"/>
        <v>93.680599999999998</v>
      </c>
      <c r="J154" s="3">
        <f t="shared" si="10"/>
        <v>-2.3429179978700088E-3</v>
      </c>
      <c r="K154" s="2">
        <f t="shared" si="11"/>
        <v>0.38000000000000966</v>
      </c>
      <c r="L154" s="2">
        <f t="shared" si="13"/>
        <v>0.50250000000000195</v>
      </c>
    </row>
    <row r="155" spans="1:12" x14ac:dyDescent="0.25">
      <c r="A155" s="1">
        <v>45887</v>
      </c>
      <c r="B155">
        <v>93.7</v>
      </c>
      <c r="C155">
        <v>93.5</v>
      </c>
      <c r="D155">
        <v>93.7</v>
      </c>
      <c r="E155">
        <v>93.5</v>
      </c>
      <c r="F155" t="s">
        <v>137</v>
      </c>
      <c r="G155" s="7">
        <v>2.0000000000000001E-4</v>
      </c>
      <c r="H155" s="2">
        <f t="shared" si="12"/>
        <v>93.974000000000018</v>
      </c>
      <c r="I155" s="2">
        <f t="shared" si="9"/>
        <v>93.674600000000012</v>
      </c>
      <c r="J155" s="3">
        <f t="shared" si="10"/>
        <v>-2.1299254526091493E-3</v>
      </c>
      <c r="K155" s="2">
        <f t="shared" si="11"/>
        <v>0.20000000000000284</v>
      </c>
      <c r="L155" s="2">
        <f t="shared" si="13"/>
        <v>0.48100000000000165</v>
      </c>
    </row>
    <row r="156" spans="1:12" x14ac:dyDescent="0.25">
      <c r="A156" s="1">
        <v>45888</v>
      </c>
      <c r="B156">
        <v>93.79</v>
      </c>
      <c r="C156">
        <v>93.7</v>
      </c>
      <c r="D156">
        <v>93.8</v>
      </c>
      <c r="E156">
        <v>93.7</v>
      </c>
      <c r="F156" t="s">
        <v>21</v>
      </c>
      <c r="G156" s="7">
        <v>1E-3</v>
      </c>
      <c r="H156" s="2">
        <f t="shared" si="12"/>
        <v>93.943500000000014</v>
      </c>
      <c r="I156" s="2">
        <f t="shared" si="9"/>
        <v>93.66640000000001</v>
      </c>
      <c r="J156" s="3">
        <f t="shared" si="10"/>
        <v>-1.1714589989350044E-3</v>
      </c>
      <c r="K156" s="2">
        <f t="shared" si="11"/>
        <v>9.9999999999994316E-2</v>
      </c>
      <c r="L156" s="2">
        <f t="shared" si="13"/>
        <v>0.46100000000000135</v>
      </c>
    </row>
    <row r="157" spans="1:12" x14ac:dyDescent="0.25">
      <c r="A157" s="1">
        <v>45889</v>
      </c>
      <c r="B157">
        <v>93.9</v>
      </c>
      <c r="C157">
        <v>93.79</v>
      </c>
      <c r="D157">
        <v>93.9</v>
      </c>
      <c r="E157">
        <v>93.79</v>
      </c>
      <c r="F157" t="s">
        <v>97</v>
      </c>
      <c r="G157" s="7">
        <v>1.1999999999999999E-3</v>
      </c>
      <c r="H157" s="2">
        <f t="shared" si="12"/>
        <v>93.908500000000018</v>
      </c>
      <c r="I157" s="2">
        <f t="shared" si="9"/>
        <v>93.662399999999991</v>
      </c>
      <c r="J157" s="3">
        <f t="shared" si="10"/>
        <v>0</v>
      </c>
      <c r="K157" s="2">
        <f t="shared" si="11"/>
        <v>0.10999999999999943</v>
      </c>
      <c r="L157" s="2">
        <f t="shared" si="13"/>
        <v>0.46150000000000163</v>
      </c>
    </row>
    <row r="158" spans="1:12" x14ac:dyDescent="0.25">
      <c r="A158" s="1">
        <v>45890</v>
      </c>
      <c r="B158">
        <v>93.9</v>
      </c>
      <c r="C158">
        <v>93.73</v>
      </c>
      <c r="D158">
        <v>93.9</v>
      </c>
      <c r="E158">
        <v>93.73</v>
      </c>
      <c r="F158" t="s">
        <v>22</v>
      </c>
      <c r="G158" s="7">
        <v>0</v>
      </c>
      <c r="H158" s="2">
        <f t="shared" si="12"/>
        <v>93.913500000000028</v>
      </c>
      <c r="I158" s="2">
        <f t="shared" si="9"/>
        <v>93.660399999999996</v>
      </c>
      <c r="J158" s="3">
        <f t="shared" si="10"/>
        <v>0</v>
      </c>
      <c r="K158" s="2">
        <f t="shared" si="11"/>
        <v>0.17000000000000171</v>
      </c>
      <c r="L158" s="2">
        <f t="shared" si="13"/>
        <v>0.43500000000000155</v>
      </c>
    </row>
    <row r="159" spans="1:12" x14ac:dyDescent="0.25">
      <c r="A159" s="1">
        <v>45891</v>
      </c>
      <c r="B159">
        <v>94</v>
      </c>
      <c r="C159">
        <v>93.9</v>
      </c>
      <c r="D159">
        <v>94</v>
      </c>
      <c r="E159">
        <v>93.9</v>
      </c>
      <c r="F159" t="s">
        <v>38</v>
      </c>
      <c r="G159" s="7">
        <v>1.1000000000000001E-3</v>
      </c>
      <c r="H159" s="2">
        <f t="shared" si="12"/>
        <v>93.898500000000013</v>
      </c>
      <c r="I159" s="2">
        <f t="shared" si="9"/>
        <v>93.658799999999985</v>
      </c>
      <c r="J159" s="3">
        <f t="shared" si="10"/>
        <v>1.0649627263044081E-3</v>
      </c>
      <c r="K159" s="2">
        <f t="shared" si="11"/>
        <v>9.9999999999994316E-2</v>
      </c>
      <c r="L159" s="2">
        <f t="shared" si="13"/>
        <v>0.39050000000000151</v>
      </c>
    </row>
    <row r="160" spans="1:12" x14ac:dyDescent="0.25">
      <c r="A160" s="1">
        <v>45894</v>
      </c>
      <c r="B160">
        <v>93.92</v>
      </c>
      <c r="C160">
        <v>94</v>
      </c>
      <c r="D160">
        <v>94.3</v>
      </c>
      <c r="E160">
        <v>93.92</v>
      </c>
      <c r="F160" t="s">
        <v>97</v>
      </c>
      <c r="G160" s="7">
        <v>-8.9999999999999998E-4</v>
      </c>
      <c r="H160" s="2">
        <f t="shared" si="12"/>
        <v>93.884500000000017</v>
      </c>
      <c r="I160" s="2">
        <f t="shared" si="9"/>
        <v>93.667399999999986</v>
      </c>
      <c r="J160" s="3">
        <f t="shared" si="10"/>
        <v>2.1299254526097045E-4</v>
      </c>
      <c r="K160" s="2">
        <f t="shared" si="11"/>
        <v>0.37999999999999545</v>
      </c>
      <c r="L160" s="2">
        <f t="shared" si="13"/>
        <v>0.39450000000000146</v>
      </c>
    </row>
    <row r="161" spans="1:12" x14ac:dyDescent="0.25">
      <c r="A161" s="1">
        <v>45895</v>
      </c>
      <c r="B161">
        <v>93.71</v>
      </c>
      <c r="C161">
        <v>93.9</v>
      </c>
      <c r="D161">
        <v>93.9</v>
      </c>
      <c r="E161">
        <v>93.71</v>
      </c>
      <c r="F161" t="s">
        <v>123</v>
      </c>
      <c r="G161" s="7">
        <v>-2.2000000000000001E-3</v>
      </c>
      <c r="H161" s="2">
        <f t="shared" si="12"/>
        <v>93.860000000000014</v>
      </c>
      <c r="I161" s="2">
        <f t="shared" si="9"/>
        <v>93.675599999999974</v>
      </c>
      <c r="J161" s="3">
        <f t="shared" si="10"/>
        <v>-2.0234291799787751E-3</v>
      </c>
      <c r="K161" s="2">
        <f t="shared" si="11"/>
        <v>0.19000000000001194</v>
      </c>
      <c r="L161" s="2">
        <f t="shared" si="13"/>
        <v>0.38900000000000218</v>
      </c>
    </row>
    <row r="162" spans="1:12" x14ac:dyDescent="0.25">
      <c r="A162" s="1">
        <v>45896</v>
      </c>
      <c r="B162">
        <v>94</v>
      </c>
      <c r="C162">
        <v>93.71</v>
      </c>
      <c r="D162">
        <v>94</v>
      </c>
      <c r="E162">
        <v>93.71</v>
      </c>
      <c r="F162" t="s">
        <v>48</v>
      </c>
      <c r="G162" s="7">
        <v>3.0999999999999999E-3</v>
      </c>
      <c r="H162" s="2">
        <f t="shared" si="12"/>
        <v>93.870000000000019</v>
      </c>
      <c r="I162" s="2">
        <f t="shared" si="9"/>
        <v>93.715599999999995</v>
      </c>
      <c r="J162" s="3">
        <f t="shared" si="10"/>
        <v>1.0649627263044081E-3</v>
      </c>
      <c r="K162" s="2">
        <f t="shared" si="11"/>
        <v>0.29000000000000625</v>
      </c>
      <c r="L162" s="2">
        <f t="shared" si="13"/>
        <v>0.35350000000000248</v>
      </c>
    </row>
    <row r="163" spans="1:12" x14ac:dyDescent="0.25">
      <c r="A163" s="1">
        <v>45897</v>
      </c>
      <c r="B163">
        <v>94</v>
      </c>
      <c r="C163">
        <v>93.81</v>
      </c>
      <c r="D163">
        <v>94</v>
      </c>
      <c r="E163">
        <v>93.71</v>
      </c>
      <c r="F163" t="s">
        <v>54</v>
      </c>
      <c r="G163" s="7">
        <v>0</v>
      </c>
      <c r="H163" s="2">
        <f t="shared" si="12"/>
        <v>93.870000000000019</v>
      </c>
      <c r="I163" s="2">
        <f t="shared" si="9"/>
        <v>93.782599999999988</v>
      </c>
      <c r="J163" s="3">
        <f t="shared" si="10"/>
        <v>1.0649627263044081E-3</v>
      </c>
      <c r="K163" s="2">
        <f t="shared" si="11"/>
        <v>0.29000000000000625</v>
      </c>
      <c r="L163" s="2">
        <f t="shared" si="13"/>
        <v>0.32800000000000296</v>
      </c>
    </row>
    <row r="164" spans="1:12" x14ac:dyDescent="0.25">
      <c r="A164" s="1">
        <v>45898</v>
      </c>
      <c r="B164">
        <v>94</v>
      </c>
      <c r="C164">
        <v>94</v>
      </c>
      <c r="D164">
        <v>94</v>
      </c>
      <c r="E164">
        <v>93.71</v>
      </c>
      <c r="F164" t="s">
        <v>60</v>
      </c>
      <c r="G164" s="7">
        <v>0</v>
      </c>
      <c r="H164" s="2">
        <f t="shared" si="12"/>
        <v>93.870000000000019</v>
      </c>
      <c r="I164" s="2">
        <f t="shared" si="9"/>
        <v>93.852599999999995</v>
      </c>
      <c r="J164" s="3">
        <f t="shared" si="10"/>
        <v>1.0649627263044081E-3</v>
      </c>
      <c r="K164" s="2">
        <f t="shared" si="11"/>
        <v>0.29000000000000625</v>
      </c>
      <c r="L164" s="2">
        <f t="shared" si="13"/>
        <v>0.32050000000000339</v>
      </c>
    </row>
    <row r="165" spans="1:12" x14ac:dyDescent="0.25">
      <c r="A165" s="1">
        <v>45901</v>
      </c>
      <c r="B165">
        <v>94</v>
      </c>
      <c r="C165">
        <v>93.99</v>
      </c>
      <c r="D165">
        <v>94</v>
      </c>
      <c r="E165">
        <v>93.9</v>
      </c>
      <c r="F165" t="s">
        <v>161</v>
      </c>
      <c r="G165" s="7">
        <v>0</v>
      </c>
      <c r="H165" s="2">
        <f t="shared" si="12"/>
        <v>93.870000000000019</v>
      </c>
      <c r="I165" s="2">
        <f t="shared" si="9"/>
        <v>93.928600000000003</v>
      </c>
      <c r="J165" s="3">
        <f t="shared" si="10"/>
        <v>1.0649627263044081E-3</v>
      </c>
      <c r="K165" s="2">
        <f t="shared" si="11"/>
        <v>9.9999999999994316E-2</v>
      </c>
      <c r="L165" s="2">
        <f t="shared" si="13"/>
        <v>0.3005000000000031</v>
      </c>
    </row>
    <row r="166" spans="1:12" x14ac:dyDescent="0.25">
      <c r="A166" s="1">
        <v>45902</v>
      </c>
      <c r="B166">
        <v>93.75</v>
      </c>
      <c r="C166">
        <v>93.99</v>
      </c>
      <c r="D166">
        <v>93.99</v>
      </c>
      <c r="E166">
        <v>93</v>
      </c>
      <c r="F166" t="s">
        <v>25</v>
      </c>
      <c r="G166" s="7">
        <v>-2.7000000000000001E-3</v>
      </c>
      <c r="H166" s="2">
        <f t="shared" si="12"/>
        <v>93.860000000000028</v>
      </c>
      <c r="I166" s="2">
        <f t="shared" si="9"/>
        <v>93.943799999999996</v>
      </c>
      <c r="J166" s="3">
        <f t="shared" si="10"/>
        <v>-1.5974440894569453E-3</v>
      </c>
      <c r="K166" s="2">
        <f t="shared" si="11"/>
        <v>0.98999999999999488</v>
      </c>
      <c r="L166" s="2">
        <f t="shared" si="13"/>
        <v>0.32500000000000284</v>
      </c>
    </row>
    <row r="167" spans="1:12" x14ac:dyDescent="0.25">
      <c r="A167" s="1">
        <v>45903</v>
      </c>
      <c r="B167">
        <v>95.5</v>
      </c>
      <c r="C167">
        <v>94</v>
      </c>
      <c r="D167">
        <v>96.65</v>
      </c>
      <c r="E167">
        <v>93.98</v>
      </c>
      <c r="F167" t="s">
        <v>162</v>
      </c>
      <c r="G167" s="7">
        <v>1.8700000000000001E-2</v>
      </c>
      <c r="H167" s="2">
        <f t="shared" si="12"/>
        <v>93.940000000000012</v>
      </c>
      <c r="I167" s="2">
        <f t="shared" si="9"/>
        <v>93.99799999999999</v>
      </c>
      <c r="J167" s="3">
        <f t="shared" si="10"/>
        <v>1.7039403620873195E-2</v>
      </c>
      <c r="K167" s="2">
        <f t="shared" si="11"/>
        <v>2.6700000000000017</v>
      </c>
      <c r="L167" s="2">
        <f t="shared" si="13"/>
        <v>0.45400000000000273</v>
      </c>
    </row>
    <row r="168" spans="1:12" x14ac:dyDescent="0.25">
      <c r="A168" s="1">
        <v>45905</v>
      </c>
      <c r="B168">
        <v>95.39</v>
      </c>
      <c r="C168">
        <v>95.5</v>
      </c>
      <c r="D168">
        <v>95.5</v>
      </c>
      <c r="E168">
        <v>95</v>
      </c>
      <c r="F168" t="s">
        <v>116</v>
      </c>
      <c r="G168" s="7">
        <v>-1.1999999999999999E-3</v>
      </c>
      <c r="H168" s="2">
        <f t="shared" si="12"/>
        <v>94.014500000000012</v>
      </c>
      <c r="I168" s="2">
        <f t="shared" si="9"/>
        <v>94.065399999999997</v>
      </c>
      <c r="J168" s="3">
        <f t="shared" si="10"/>
        <v>1.5867944621938079E-2</v>
      </c>
      <c r="K168" s="2">
        <f t="shared" si="11"/>
        <v>0.5</v>
      </c>
      <c r="L168" s="2">
        <f t="shared" si="13"/>
        <v>0.47500000000000214</v>
      </c>
    </row>
    <row r="169" spans="1:12" x14ac:dyDescent="0.25">
      <c r="A169" s="1">
        <v>45908</v>
      </c>
      <c r="B169">
        <v>94.7</v>
      </c>
      <c r="C169">
        <v>95.49</v>
      </c>
      <c r="D169">
        <v>95.5</v>
      </c>
      <c r="E169">
        <v>94.7</v>
      </c>
      <c r="F169" t="s">
        <v>163</v>
      </c>
      <c r="G169" s="7">
        <v>-7.1999999999999998E-3</v>
      </c>
      <c r="H169" s="2">
        <f t="shared" si="12"/>
        <v>94.054500000000004</v>
      </c>
      <c r="I169" s="2">
        <f t="shared" si="9"/>
        <v>94.079399999999993</v>
      </c>
      <c r="J169" s="3">
        <f t="shared" si="10"/>
        <v>8.5197018104365974E-3</v>
      </c>
      <c r="K169" s="2">
        <f t="shared" si="11"/>
        <v>0.79999999999999716</v>
      </c>
      <c r="L169" s="2">
        <f t="shared" si="13"/>
        <v>0.47000000000000169</v>
      </c>
    </row>
    <row r="170" spans="1:12" x14ac:dyDescent="0.25">
      <c r="A170" s="1">
        <v>45909</v>
      </c>
      <c r="B170">
        <v>96</v>
      </c>
      <c r="C170">
        <v>95</v>
      </c>
      <c r="D170">
        <v>96.5</v>
      </c>
      <c r="E170">
        <v>95</v>
      </c>
      <c r="F170" t="s">
        <v>164</v>
      </c>
      <c r="G170" s="7">
        <v>1.37E-2</v>
      </c>
      <c r="H170" s="2">
        <f t="shared" si="12"/>
        <v>94.159500000000008</v>
      </c>
      <c r="I170" s="2">
        <f t="shared" si="9"/>
        <v>94.119399999999985</v>
      </c>
      <c r="J170" s="3">
        <f t="shared" si="10"/>
        <v>2.2364217252396124E-2</v>
      </c>
      <c r="K170" s="2">
        <f t="shared" si="11"/>
        <v>1.5</v>
      </c>
      <c r="L170" s="2">
        <f t="shared" si="13"/>
        <v>0.54000000000000126</v>
      </c>
    </row>
    <row r="171" spans="1:12" x14ac:dyDescent="0.25">
      <c r="A171" s="1">
        <v>45910</v>
      </c>
      <c r="B171">
        <v>95.79</v>
      </c>
      <c r="C171">
        <v>96</v>
      </c>
      <c r="D171">
        <v>96</v>
      </c>
      <c r="E171">
        <v>95.55</v>
      </c>
      <c r="F171" t="s">
        <v>36</v>
      </c>
      <c r="G171" s="7">
        <v>-2.2000000000000001E-3</v>
      </c>
      <c r="H171" s="2">
        <f t="shared" si="12"/>
        <v>94.256500000000003</v>
      </c>
      <c r="I171" s="2">
        <f t="shared" si="9"/>
        <v>94.152199999999993</v>
      </c>
      <c r="J171" s="3">
        <f t="shared" si="10"/>
        <v>2.01277955271566E-2</v>
      </c>
      <c r="K171" s="2">
        <f t="shared" si="11"/>
        <v>0.45000000000000284</v>
      </c>
      <c r="L171" s="2">
        <f t="shared" si="13"/>
        <v>0.53300000000000125</v>
      </c>
    </row>
    <row r="172" spans="1:12" x14ac:dyDescent="0.25">
      <c r="A172" s="1">
        <v>45911</v>
      </c>
      <c r="B172">
        <v>97.9</v>
      </c>
      <c r="C172">
        <v>95.5</v>
      </c>
      <c r="D172">
        <v>97.9</v>
      </c>
      <c r="E172">
        <v>95.5</v>
      </c>
      <c r="F172" t="s">
        <v>165</v>
      </c>
      <c r="G172" s="7">
        <v>2.1999999999999999E-2</v>
      </c>
      <c r="H172" s="2">
        <f t="shared" si="12"/>
        <v>94.466500000000011</v>
      </c>
      <c r="I172" s="2">
        <f t="shared" si="9"/>
        <v>94.230199999999982</v>
      </c>
      <c r="J172" s="3">
        <f t="shared" si="10"/>
        <v>4.2598509052183209E-2</v>
      </c>
      <c r="K172" s="2">
        <f t="shared" si="11"/>
        <v>2.4000000000000057</v>
      </c>
      <c r="L172" s="2">
        <f t="shared" si="13"/>
        <v>0.63050000000000139</v>
      </c>
    </row>
    <row r="173" spans="1:12" x14ac:dyDescent="0.25">
      <c r="A173" s="1">
        <v>45912</v>
      </c>
      <c r="B173">
        <v>97.69</v>
      </c>
      <c r="C173">
        <v>96.01</v>
      </c>
      <c r="D173">
        <v>97.8</v>
      </c>
      <c r="E173">
        <v>96</v>
      </c>
      <c r="F173" t="s">
        <v>46</v>
      </c>
      <c r="G173" s="7">
        <v>-2.0999999999999999E-3</v>
      </c>
      <c r="H173" s="2">
        <f t="shared" si="12"/>
        <v>94.666000000000011</v>
      </c>
      <c r="I173" s="2">
        <f t="shared" si="9"/>
        <v>94.303999999999974</v>
      </c>
      <c r="J173" s="3">
        <f t="shared" si="10"/>
        <v>4.0362087326943463E-2</v>
      </c>
      <c r="K173" s="2">
        <f t="shared" si="11"/>
        <v>1.7999999999999972</v>
      </c>
      <c r="L173" s="2">
        <f t="shared" si="13"/>
        <v>0.68550000000000111</v>
      </c>
    </row>
    <row r="174" spans="1:12" x14ac:dyDescent="0.25">
      <c r="A174" s="1">
        <v>45915</v>
      </c>
      <c r="B174">
        <v>97.68</v>
      </c>
      <c r="C174">
        <v>97.2</v>
      </c>
      <c r="D174">
        <v>97.75</v>
      </c>
      <c r="E174">
        <v>97</v>
      </c>
      <c r="F174" t="s">
        <v>25</v>
      </c>
      <c r="G174" s="7">
        <v>-1E-4</v>
      </c>
      <c r="H174" s="2">
        <f t="shared" si="12"/>
        <v>94.866000000000014</v>
      </c>
      <c r="I174" s="2">
        <f t="shared" si="9"/>
        <v>94.377599999999987</v>
      </c>
      <c r="J174" s="3">
        <f t="shared" si="10"/>
        <v>4.02555910543132E-2</v>
      </c>
      <c r="K174" s="2">
        <f t="shared" si="11"/>
        <v>0.75</v>
      </c>
      <c r="L174" s="2">
        <f t="shared" si="13"/>
        <v>0.70400000000000063</v>
      </c>
    </row>
    <row r="175" spans="1:12" x14ac:dyDescent="0.25">
      <c r="A175" s="1">
        <v>45916</v>
      </c>
      <c r="B175">
        <v>98.89</v>
      </c>
      <c r="C175">
        <v>97.75</v>
      </c>
      <c r="D175">
        <v>98.89</v>
      </c>
      <c r="E175">
        <v>97.68</v>
      </c>
      <c r="F175" t="s">
        <v>64</v>
      </c>
      <c r="G175" s="7">
        <v>1.24E-2</v>
      </c>
      <c r="H175" s="2">
        <f t="shared" si="12"/>
        <v>95.125500000000017</v>
      </c>
      <c r="I175" s="2">
        <f t="shared" si="9"/>
        <v>94.475399999999993</v>
      </c>
      <c r="J175" s="3">
        <f t="shared" si="10"/>
        <v>5.3141640042598359E-2</v>
      </c>
      <c r="K175" s="2">
        <f t="shared" si="11"/>
        <v>1.2099999999999937</v>
      </c>
      <c r="L175" s="2">
        <f t="shared" si="13"/>
        <v>0.75450000000000017</v>
      </c>
    </row>
    <row r="176" spans="1:12" x14ac:dyDescent="0.25">
      <c r="A176" s="1">
        <v>45917</v>
      </c>
      <c r="B176">
        <v>101</v>
      </c>
      <c r="C176">
        <v>98.89</v>
      </c>
      <c r="D176">
        <v>101.9</v>
      </c>
      <c r="E176">
        <v>98.89</v>
      </c>
      <c r="F176" t="s">
        <v>166</v>
      </c>
      <c r="G176" s="7">
        <v>2.1299999999999999E-2</v>
      </c>
      <c r="H176" s="2">
        <f t="shared" si="12"/>
        <v>95.486000000000018</v>
      </c>
      <c r="I176" s="2">
        <f t="shared" si="9"/>
        <v>94.615399999999994</v>
      </c>
      <c r="J176" s="3">
        <f t="shared" si="10"/>
        <v>7.5612353567624968E-2</v>
      </c>
      <c r="K176" s="2">
        <f t="shared" si="11"/>
        <v>3.0100000000000051</v>
      </c>
      <c r="L176" s="2">
        <f t="shared" si="13"/>
        <v>0.90000000000000069</v>
      </c>
    </row>
    <row r="177" spans="1:12" x14ac:dyDescent="0.25">
      <c r="A177" s="1">
        <v>45918</v>
      </c>
      <c r="B177">
        <v>101</v>
      </c>
      <c r="C177">
        <v>101</v>
      </c>
      <c r="D177">
        <v>101.49</v>
      </c>
      <c r="E177">
        <v>100.2</v>
      </c>
      <c r="F177" t="s">
        <v>167</v>
      </c>
      <c r="G177" s="7">
        <v>0</v>
      </c>
      <c r="H177" s="2">
        <f t="shared" si="12"/>
        <v>95.841000000000022</v>
      </c>
      <c r="I177" s="2">
        <f t="shared" si="9"/>
        <v>94.755399999999995</v>
      </c>
      <c r="J177" s="3">
        <f t="shared" si="10"/>
        <v>7.5612353567624968E-2</v>
      </c>
      <c r="K177" s="2">
        <f t="shared" si="11"/>
        <v>1.289999999999992</v>
      </c>
      <c r="L177" s="2">
        <f t="shared" si="13"/>
        <v>0.9590000000000003</v>
      </c>
    </row>
    <row r="178" spans="1:12" x14ac:dyDescent="0.25">
      <c r="A178" s="1">
        <v>45919</v>
      </c>
      <c r="B178">
        <v>101</v>
      </c>
      <c r="C178">
        <v>100.5</v>
      </c>
      <c r="D178">
        <v>101.5</v>
      </c>
      <c r="E178">
        <v>100.5</v>
      </c>
      <c r="F178" t="s">
        <v>168</v>
      </c>
      <c r="G178" s="7">
        <v>0</v>
      </c>
      <c r="H178" s="2">
        <f t="shared" si="12"/>
        <v>96.196000000000012</v>
      </c>
      <c r="I178" s="2">
        <f t="shared" si="9"/>
        <v>94.895399999999995</v>
      </c>
      <c r="J178" s="3">
        <f t="shared" si="10"/>
        <v>7.5612353567624968E-2</v>
      </c>
      <c r="K178" s="2">
        <f t="shared" si="11"/>
        <v>1</v>
      </c>
      <c r="L178" s="2">
        <f t="shared" si="13"/>
        <v>1.0005000000000002</v>
      </c>
    </row>
    <row r="179" spans="1:12" x14ac:dyDescent="0.25">
      <c r="A179" s="1">
        <v>45922</v>
      </c>
      <c r="B179">
        <v>101</v>
      </c>
      <c r="C179">
        <v>101</v>
      </c>
      <c r="D179">
        <v>101.5</v>
      </c>
      <c r="E179">
        <v>100.9</v>
      </c>
      <c r="F179" t="s">
        <v>169</v>
      </c>
      <c r="G179" s="7">
        <v>0</v>
      </c>
      <c r="H179" s="2">
        <f t="shared" si="12"/>
        <v>96.546000000000021</v>
      </c>
      <c r="I179" s="2">
        <f t="shared" si="9"/>
        <v>95.03540000000001</v>
      </c>
      <c r="J179" s="3">
        <f t="shared" si="10"/>
        <v>7.5612353567624968E-2</v>
      </c>
      <c r="K179" s="2">
        <f t="shared" si="11"/>
        <v>0.59999999999999432</v>
      </c>
      <c r="L179" s="2">
        <f t="shared" si="13"/>
        <v>1.0255000000000003</v>
      </c>
    </row>
    <row r="180" spans="1:12" x14ac:dyDescent="0.25">
      <c r="A180" s="1">
        <v>45923</v>
      </c>
      <c r="B180">
        <v>100.84</v>
      </c>
      <c r="C180">
        <v>101</v>
      </c>
      <c r="D180">
        <v>101</v>
      </c>
      <c r="E180">
        <v>100.6</v>
      </c>
      <c r="F180" t="s">
        <v>56</v>
      </c>
      <c r="G180" s="7">
        <v>-1.6000000000000001E-3</v>
      </c>
      <c r="H180" s="2">
        <f t="shared" si="12"/>
        <v>96.892000000000024</v>
      </c>
      <c r="I180" s="2">
        <f t="shared" ref="I180:I243" si="14">AVERAGE(B131:B180)</f>
        <v>95.174199999999999</v>
      </c>
      <c r="J180" s="3">
        <f t="shared" si="10"/>
        <v>7.3908413205537871E-2</v>
      </c>
      <c r="K180" s="2">
        <f t="shared" si="11"/>
        <v>0.40000000000000568</v>
      </c>
      <c r="L180" s="2">
        <f t="shared" si="13"/>
        <v>1.0265000000000009</v>
      </c>
    </row>
    <row r="181" spans="1:12" x14ac:dyDescent="0.25">
      <c r="A181" s="1">
        <v>45924</v>
      </c>
      <c r="B181">
        <v>101.24</v>
      </c>
      <c r="C181">
        <v>101</v>
      </c>
      <c r="D181">
        <v>101.3</v>
      </c>
      <c r="E181">
        <v>101</v>
      </c>
      <c r="F181" t="s">
        <v>125</v>
      </c>
      <c r="G181" s="7">
        <v>4.0000000000000001E-3</v>
      </c>
      <c r="H181" s="2">
        <f t="shared" si="12"/>
        <v>97.268500000000003</v>
      </c>
      <c r="I181" s="2">
        <f t="shared" si="14"/>
        <v>95.319000000000003</v>
      </c>
      <c r="J181" s="3">
        <f t="shared" si="10"/>
        <v>7.8168264110755947E-2</v>
      </c>
      <c r="K181" s="2">
        <f t="shared" si="11"/>
        <v>0.29999999999999716</v>
      </c>
      <c r="L181" s="2">
        <f t="shared" si="13"/>
        <v>1.032</v>
      </c>
    </row>
    <row r="182" spans="1:12" x14ac:dyDescent="0.25">
      <c r="A182" s="1">
        <v>45925</v>
      </c>
      <c r="B182">
        <v>101.9</v>
      </c>
      <c r="C182">
        <v>101.24</v>
      </c>
      <c r="D182">
        <v>101.9</v>
      </c>
      <c r="E182">
        <v>101</v>
      </c>
      <c r="F182" t="s">
        <v>68</v>
      </c>
      <c r="G182" s="7">
        <v>6.4999999999999997E-3</v>
      </c>
      <c r="H182" s="2">
        <f t="shared" si="12"/>
        <v>97.663500000000013</v>
      </c>
      <c r="I182" s="2">
        <f t="shared" si="14"/>
        <v>95.47699999999999</v>
      </c>
      <c r="J182" s="3">
        <f t="shared" si="10"/>
        <v>8.5197018104366418E-2</v>
      </c>
      <c r="K182" s="2">
        <f t="shared" si="11"/>
        <v>0.90000000000000568</v>
      </c>
      <c r="L182" s="2">
        <f t="shared" si="13"/>
        <v>1.0625</v>
      </c>
    </row>
    <row r="183" spans="1:12" x14ac:dyDescent="0.25">
      <c r="A183" s="1">
        <v>45926</v>
      </c>
      <c r="B183">
        <v>102.95</v>
      </c>
      <c r="C183">
        <v>101.9</v>
      </c>
      <c r="D183">
        <v>104</v>
      </c>
      <c r="E183">
        <v>101.9</v>
      </c>
      <c r="F183" t="s">
        <v>170</v>
      </c>
      <c r="G183" s="7">
        <v>1.03E-2</v>
      </c>
      <c r="H183" s="2">
        <f t="shared" si="12"/>
        <v>98.111000000000018</v>
      </c>
      <c r="I183" s="2">
        <f t="shared" si="14"/>
        <v>95.636399999999995</v>
      </c>
      <c r="J183" s="3">
        <f t="shared" si="10"/>
        <v>9.6379126730564479E-2</v>
      </c>
      <c r="K183" s="2">
        <f t="shared" si="11"/>
        <v>2.0999999999999943</v>
      </c>
      <c r="L183" s="2">
        <f t="shared" si="13"/>
        <v>1.1529999999999994</v>
      </c>
    </row>
    <row r="184" spans="1:12" x14ac:dyDescent="0.25">
      <c r="A184" s="1">
        <v>45929</v>
      </c>
      <c r="B184">
        <v>103.6</v>
      </c>
      <c r="C184">
        <v>102.95</v>
      </c>
      <c r="D184">
        <v>104</v>
      </c>
      <c r="E184">
        <v>102.95</v>
      </c>
      <c r="F184" t="s">
        <v>95</v>
      </c>
      <c r="G184" s="7">
        <v>6.3E-3</v>
      </c>
      <c r="H184" s="2">
        <f t="shared" si="12"/>
        <v>98.590999999999994</v>
      </c>
      <c r="I184" s="2">
        <f t="shared" si="14"/>
        <v>95.818399999999997</v>
      </c>
      <c r="J184" s="3">
        <f t="shared" si="10"/>
        <v>0.10330138445154402</v>
      </c>
      <c r="K184" s="2">
        <f t="shared" si="11"/>
        <v>1.0499999999999972</v>
      </c>
      <c r="L184" s="2">
        <f t="shared" si="13"/>
        <v>1.1909999999999989</v>
      </c>
    </row>
    <row r="185" spans="1:12" x14ac:dyDescent="0.25">
      <c r="A185" s="1">
        <v>45930</v>
      </c>
      <c r="B185">
        <v>103</v>
      </c>
      <c r="C185">
        <v>103.99</v>
      </c>
      <c r="D185">
        <v>103.99</v>
      </c>
      <c r="E185">
        <v>102.95</v>
      </c>
      <c r="F185" t="s">
        <v>19</v>
      </c>
      <c r="G185" s="7">
        <v>-5.7999999999999996E-3</v>
      </c>
      <c r="H185" s="2">
        <f t="shared" si="12"/>
        <v>99.040999999999997</v>
      </c>
      <c r="I185" s="2">
        <f t="shared" si="14"/>
        <v>95.990399999999994</v>
      </c>
      <c r="J185" s="3">
        <f t="shared" si="10"/>
        <v>9.6911608093716683E-2</v>
      </c>
      <c r="K185" s="2">
        <f t="shared" si="11"/>
        <v>1.039999999999992</v>
      </c>
      <c r="L185" s="2">
        <f t="shared" si="13"/>
        <v>1.2379999999999989</v>
      </c>
    </row>
    <row r="186" spans="1:12" x14ac:dyDescent="0.25">
      <c r="A186" s="1">
        <v>45931</v>
      </c>
      <c r="B186">
        <v>103</v>
      </c>
      <c r="C186">
        <v>103.6</v>
      </c>
      <c r="D186">
        <v>103.6</v>
      </c>
      <c r="E186">
        <v>102.95</v>
      </c>
      <c r="F186" t="s">
        <v>41</v>
      </c>
      <c r="G186" s="7">
        <v>0</v>
      </c>
      <c r="H186" s="2">
        <f t="shared" si="12"/>
        <v>99.503500000000003</v>
      </c>
      <c r="I186" s="2">
        <f t="shared" si="14"/>
        <v>96.162399999999991</v>
      </c>
      <c r="J186" s="3">
        <f t="shared" si="10"/>
        <v>9.6911608093716683E-2</v>
      </c>
      <c r="K186" s="2">
        <f t="shared" si="11"/>
        <v>0.64999999999999147</v>
      </c>
      <c r="L186" s="2">
        <f t="shared" si="13"/>
        <v>1.2209999999999988</v>
      </c>
    </row>
    <row r="187" spans="1:12" x14ac:dyDescent="0.25">
      <c r="A187" s="1">
        <v>45932</v>
      </c>
      <c r="B187">
        <v>102.94</v>
      </c>
      <c r="C187">
        <v>99</v>
      </c>
      <c r="D187">
        <v>102.99</v>
      </c>
      <c r="E187">
        <v>99</v>
      </c>
      <c r="F187" t="s">
        <v>43</v>
      </c>
      <c r="G187" s="7">
        <v>-5.9999999999999995E-4</v>
      </c>
      <c r="H187" s="2">
        <f t="shared" si="12"/>
        <v>99.875500000000002</v>
      </c>
      <c r="I187" s="2">
        <f t="shared" si="14"/>
        <v>96.329199999999986</v>
      </c>
      <c r="J187" s="3">
        <f t="shared" si="10"/>
        <v>9.6272630457933772E-2</v>
      </c>
      <c r="K187" s="2">
        <f t="shared" si="11"/>
        <v>3.9899999999999949</v>
      </c>
      <c r="L187" s="2">
        <f t="shared" si="13"/>
        <v>1.2869999999999984</v>
      </c>
    </row>
    <row r="188" spans="1:12" x14ac:dyDescent="0.25">
      <c r="A188" s="1">
        <v>45933</v>
      </c>
      <c r="B188">
        <v>102</v>
      </c>
      <c r="C188">
        <v>102</v>
      </c>
      <c r="D188">
        <v>102.6</v>
      </c>
      <c r="E188">
        <v>102</v>
      </c>
      <c r="F188" t="s">
        <v>69</v>
      </c>
      <c r="G188" s="7">
        <v>-9.1000000000000004E-3</v>
      </c>
      <c r="H188" s="2">
        <f t="shared" si="12"/>
        <v>100.206</v>
      </c>
      <c r="I188" s="2">
        <f t="shared" si="14"/>
        <v>96.493200000000002</v>
      </c>
      <c r="J188" s="3">
        <f t="shared" si="10"/>
        <v>8.6261980830670826E-2</v>
      </c>
      <c r="K188" s="2">
        <f t="shared" si="11"/>
        <v>0.59999999999999432</v>
      </c>
      <c r="L188" s="2">
        <f t="shared" si="13"/>
        <v>1.291999999999998</v>
      </c>
    </row>
    <row r="189" spans="1:12" x14ac:dyDescent="0.25">
      <c r="A189" s="1">
        <v>45936</v>
      </c>
      <c r="B189">
        <v>102.69</v>
      </c>
      <c r="C189">
        <v>101.9</v>
      </c>
      <c r="D189">
        <v>102.69</v>
      </c>
      <c r="E189">
        <v>101.9</v>
      </c>
      <c r="F189" t="s">
        <v>17</v>
      </c>
      <c r="G189" s="7">
        <v>6.7999999999999996E-3</v>
      </c>
      <c r="H189" s="2">
        <f t="shared" si="12"/>
        <v>100.60550000000001</v>
      </c>
      <c r="I189" s="2">
        <f t="shared" si="14"/>
        <v>96.660999999999987</v>
      </c>
      <c r="J189" s="3">
        <f t="shared" si="10"/>
        <v>9.361022364217253E-2</v>
      </c>
      <c r="K189" s="2">
        <f t="shared" si="11"/>
        <v>0.78999999999999204</v>
      </c>
      <c r="L189" s="2">
        <f t="shared" si="13"/>
        <v>1.2914999999999979</v>
      </c>
    </row>
    <row r="190" spans="1:12" x14ac:dyDescent="0.25">
      <c r="A190" s="1">
        <v>45937</v>
      </c>
      <c r="B190">
        <v>101.99</v>
      </c>
      <c r="C190">
        <v>102.7</v>
      </c>
      <c r="D190">
        <v>102.7</v>
      </c>
      <c r="E190">
        <v>100</v>
      </c>
      <c r="F190" t="s">
        <v>42</v>
      </c>
      <c r="G190" s="7">
        <v>-6.7999999999999996E-3</v>
      </c>
      <c r="H190" s="2">
        <f t="shared" si="12"/>
        <v>100.905</v>
      </c>
      <c r="I190" s="2">
        <f t="shared" si="14"/>
        <v>96.816799999999986</v>
      </c>
      <c r="J190" s="3">
        <f t="shared" si="10"/>
        <v>8.6155484558040341E-2</v>
      </c>
      <c r="K190" s="2">
        <f t="shared" si="11"/>
        <v>2.7000000000000028</v>
      </c>
      <c r="L190" s="2">
        <f t="shared" si="13"/>
        <v>1.3514999999999979</v>
      </c>
    </row>
    <row r="191" spans="1:12" x14ac:dyDescent="0.25">
      <c r="A191" s="1">
        <v>45938</v>
      </c>
      <c r="B191">
        <v>101</v>
      </c>
      <c r="C191">
        <v>101</v>
      </c>
      <c r="D191">
        <v>101.98</v>
      </c>
      <c r="E191">
        <v>101</v>
      </c>
      <c r="F191" t="s">
        <v>11</v>
      </c>
      <c r="G191" s="7">
        <v>-9.7000000000000003E-3</v>
      </c>
      <c r="H191" s="2">
        <f t="shared" si="12"/>
        <v>101.16550000000001</v>
      </c>
      <c r="I191" s="2">
        <f t="shared" si="14"/>
        <v>96.952799999999968</v>
      </c>
      <c r="J191" s="3">
        <f t="shared" si="10"/>
        <v>7.5612353567624968E-2</v>
      </c>
      <c r="K191" s="2">
        <f t="shared" si="11"/>
        <v>0.98000000000000398</v>
      </c>
      <c r="L191" s="2">
        <f t="shared" si="13"/>
        <v>1.3779999999999979</v>
      </c>
    </row>
    <row r="192" spans="1:12" x14ac:dyDescent="0.25">
      <c r="A192" s="1">
        <v>45939</v>
      </c>
      <c r="B192">
        <v>101.4</v>
      </c>
      <c r="C192">
        <v>101.98</v>
      </c>
      <c r="D192">
        <v>101.98</v>
      </c>
      <c r="E192">
        <v>101</v>
      </c>
      <c r="F192" t="s">
        <v>80</v>
      </c>
      <c r="G192" s="7">
        <v>4.0000000000000001E-3</v>
      </c>
      <c r="H192" s="2">
        <f t="shared" si="12"/>
        <v>101.34050000000001</v>
      </c>
      <c r="I192" s="2">
        <f t="shared" si="14"/>
        <v>97.104799999999955</v>
      </c>
      <c r="J192" s="3">
        <f t="shared" si="10"/>
        <v>7.9872204472843489E-2</v>
      </c>
      <c r="K192" s="2">
        <f t="shared" si="11"/>
        <v>0.98000000000000398</v>
      </c>
      <c r="L192" s="2">
        <f t="shared" si="13"/>
        <v>1.3069999999999979</v>
      </c>
    </row>
    <row r="193" spans="1:12" x14ac:dyDescent="0.25">
      <c r="A193" s="1">
        <v>45940</v>
      </c>
      <c r="B193">
        <v>101.4</v>
      </c>
      <c r="C193">
        <v>101.4</v>
      </c>
      <c r="D193">
        <v>101.98</v>
      </c>
      <c r="E193">
        <v>101</v>
      </c>
      <c r="F193" t="s">
        <v>23</v>
      </c>
      <c r="G193" s="7">
        <v>0</v>
      </c>
      <c r="H193" s="2">
        <f t="shared" si="12"/>
        <v>101.52600000000001</v>
      </c>
      <c r="I193" s="2">
        <f t="shared" si="14"/>
        <v>97.252799999999951</v>
      </c>
      <c r="J193" s="3">
        <f t="shared" si="10"/>
        <v>7.9872204472843489E-2</v>
      </c>
      <c r="K193" s="2">
        <f t="shared" si="11"/>
        <v>0.98000000000000398</v>
      </c>
      <c r="L193" s="2">
        <f t="shared" si="13"/>
        <v>1.2659999999999982</v>
      </c>
    </row>
    <row r="194" spans="1:12" x14ac:dyDescent="0.25">
      <c r="A194" s="1">
        <v>45943</v>
      </c>
      <c r="B194">
        <v>101.97</v>
      </c>
      <c r="C194">
        <v>101.98</v>
      </c>
      <c r="D194">
        <v>101.98</v>
      </c>
      <c r="E194">
        <v>101.95</v>
      </c>
      <c r="F194" t="s">
        <v>171</v>
      </c>
      <c r="G194" s="7">
        <v>5.5999999999999999E-3</v>
      </c>
      <c r="H194" s="2">
        <f t="shared" si="12"/>
        <v>101.74050000000003</v>
      </c>
      <c r="I194" s="2">
        <f t="shared" si="14"/>
        <v>97.41219999999997</v>
      </c>
      <c r="J194" s="3">
        <f t="shared" si="10"/>
        <v>8.594249201277937E-2</v>
      </c>
      <c r="K194" s="2">
        <f t="shared" si="11"/>
        <v>3.0000000000001137E-2</v>
      </c>
      <c r="L194" s="2">
        <f t="shared" si="13"/>
        <v>1.2299999999999982</v>
      </c>
    </row>
    <row r="195" spans="1:12" x14ac:dyDescent="0.25">
      <c r="A195" s="1">
        <v>45944</v>
      </c>
      <c r="B195">
        <v>101.94</v>
      </c>
      <c r="C195">
        <v>101.98</v>
      </c>
      <c r="D195">
        <v>101.98</v>
      </c>
      <c r="E195">
        <v>101.25</v>
      </c>
      <c r="F195" t="s">
        <v>155</v>
      </c>
      <c r="G195" s="7">
        <v>-2.9999999999999997E-4</v>
      </c>
      <c r="H195" s="2">
        <f t="shared" si="12"/>
        <v>101.89300000000003</v>
      </c>
      <c r="I195" s="2">
        <f t="shared" si="14"/>
        <v>97.57099999999997</v>
      </c>
      <c r="J195" s="3">
        <f t="shared" ref="J195:J258" si="15">(B195/$B$2)-1</f>
        <v>8.5623003194888136E-2</v>
      </c>
      <c r="K195" s="2">
        <f t="shared" ref="K195:K258" si="16">D195-E195</f>
        <v>0.73000000000000398</v>
      </c>
      <c r="L195" s="2">
        <f t="shared" si="13"/>
        <v>1.2059999999999989</v>
      </c>
    </row>
    <row r="196" spans="1:12" x14ac:dyDescent="0.25">
      <c r="A196" s="1">
        <v>45946</v>
      </c>
      <c r="B196">
        <v>101.1</v>
      </c>
      <c r="C196">
        <v>101.1</v>
      </c>
      <c r="D196">
        <v>101.8</v>
      </c>
      <c r="E196">
        <v>101.1</v>
      </c>
      <c r="F196" t="s">
        <v>36</v>
      </c>
      <c r="G196" s="7">
        <v>-8.2000000000000007E-3</v>
      </c>
      <c r="H196" s="2">
        <f t="shared" si="12"/>
        <v>101.89800000000001</v>
      </c>
      <c r="I196" s="2">
        <f t="shared" si="14"/>
        <v>97.713999999999984</v>
      </c>
      <c r="J196" s="3">
        <f t="shared" si="15"/>
        <v>7.6677316293929598E-2</v>
      </c>
      <c r="K196" s="2">
        <f t="shared" si="16"/>
        <v>0.70000000000000284</v>
      </c>
      <c r="L196" s="2">
        <f t="shared" si="13"/>
        <v>1.0904999999999987</v>
      </c>
    </row>
    <row r="197" spans="1:12" x14ac:dyDescent="0.25">
      <c r="A197" s="1">
        <v>45947</v>
      </c>
      <c r="B197">
        <v>101.1</v>
      </c>
      <c r="C197">
        <v>101.6</v>
      </c>
      <c r="D197">
        <v>101.6</v>
      </c>
      <c r="E197">
        <v>101.05</v>
      </c>
      <c r="F197" t="s">
        <v>88</v>
      </c>
      <c r="G197" s="7">
        <v>0</v>
      </c>
      <c r="H197" s="2">
        <f t="shared" si="12"/>
        <v>101.90300000000001</v>
      </c>
      <c r="I197" s="2">
        <f t="shared" si="14"/>
        <v>97.85799999999999</v>
      </c>
      <c r="J197" s="3">
        <f t="shared" si="15"/>
        <v>7.6677316293929598E-2</v>
      </c>
      <c r="K197" s="2">
        <f t="shared" si="16"/>
        <v>0.54999999999999716</v>
      </c>
      <c r="L197" s="2">
        <f t="shared" si="13"/>
        <v>1.053499999999999</v>
      </c>
    </row>
    <row r="198" spans="1:12" x14ac:dyDescent="0.25">
      <c r="A198" s="1">
        <v>45950</v>
      </c>
      <c r="B198">
        <v>101.05</v>
      </c>
      <c r="C198">
        <v>101.1</v>
      </c>
      <c r="D198">
        <v>101.1</v>
      </c>
      <c r="E198">
        <v>101</v>
      </c>
      <c r="F198" t="s">
        <v>70</v>
      </c>
      <c r="G198" s="7">
        <v>-5.0000000000000001E-4</v>
      </c>
      <c r="H198" s="2">
        <f t="shared" si="12"/>
        <v>101.9055</v>
      </c>
      <c r="I198" s="2">
        <f t="shared" si="14"/>
        <v>98.001000000000005</v>
      </c>
      <c r="J198" s="3">
        <f t="shared" si="15"/>
        <v>7.6144834930777394E-2</v>
      </c>
      <c r="K198" s="2">
        <f t="shared" si="16"/>
        <v>9.9999999999994316E-2</v>
      </c>
      <c r="L198" s="2">
        <f t="shared" si="13"/>
        <v>1.0084999999999986</v>
      </c>
    </row>
    <row r="199" spans="1:12" x14ac:dyDescent="0.25">
      <c r="A199" s="1">
        <v>45951</v>
      </c>
      <c r="B199">
        <v>101.05</v>
      </c>
      <c r="C199">
        <v>101.6</v>
      </c>
      <c r="D199">
        <v>101.6</v>
      </c>
      <c r="E199">
        <v>101</v>
      </c>
      <c r="F199" t="s">
        <v>34</v>
      </c>
      <c r="G199" s="7">
        <v>0</v>
      </c>
      <c r="H199" s="2">
        <f t="shared" si="12"/>
        <v>101.908</v>
      </c>
      <c r="I199" s="2">
        <f t="shared" si="14"/>
        <v>98.143999999999991</v>
      </c>
      <c r="J199" s="3">
        <f t="shared" si="15"/>
        <v>7.6144834930777394E-2</v>
      </c>
      <c r="K199" s="2">
        <f t="shared" si="16"/>
        <v>0.59999999999999432</v>
      </c>
      <c r="L199" s="2">
        <f t="shared" si="13"/>
        <v>1.0084999999999986</v>
      </c>
    </row>
    <row r="200" spans="1:12" x14ac:dyDescent="0.25">
      <c r="A200" s="1">
        <v>45952</v>
      </c>
      <c r="B200">
        <v>102.8</v>
      </c>
      <c r="C200">
        <v>101.49</v>
      </c>
      <c r="D200">
        <v>102.8</v>
      </c>
      <c r="E200">
        <v>101.49</v>
      </c>
      <c r="F200" t="s">
        <v>172</v>
      </c>
      <c r="G200" s="7">
        <v>1.7299999999999999E-2</v>
      </c>
      <c r="H200" s="2">
        <f t="shared" si="12"/>
        <v>102.006</v>
      </c>
      <c r="I200" s="2">
        <f t="shared" si="14"/>
        <v>98.322000000000003</v>
      </c>
      <c r="J200" s="3">
        <f t="shared" si="15"/>
        <v>9.4781682641107423E-2</v>
      </c>
      <c r="K200" s="2">
        <f t="shared" si="16"/>
        <v>1.3100000000000023</v>
      </c>
      <c r="L200" s="2">
        <f t="shared" si="13"/>
        <v>1.0539999999999985</v>
      </c>
    </row>
    <row r="201" spans="1:12" x14ac:dyDescent="0.25">
      <c r="A201" s="1">
        <v>45953</v>
      </c>
      <c r="B201">
        <v>103.8</v>
      </c>
      <c r="C201">
        <v>102.9</v>
      </c>
      <c r="D201">
        <v>103.8</v>
      </c>
      <c r="E201">
        <v>102.9</v>
      </c>
      <c r="F201" t="s">
        <v>22</v>
      </c>
      <c r="G201" s="7">
        <v>9.7000000000000003E-3</v>
      </c>
      <c r="H201" s="2">
        <f t="shared" si="12"/>
        <v>102.134</v>
      </c>
      <c r="I201" s="2">
        <f t="shared" si="14"/>
        <v>98.521000000000015</v>
      </c>
      <c r="J201" s="3">
        <f t="shared" si="15"/>
        <v>0.10543130990415328</v>
      </c>
      <c r="K201" s="2">
        <f t="shared" si="16"/>
        <v>0.89999999999999147</v>
      </c>
      <c r="L201" s="2">
        <f t="shared" si="13"/>
        <v>1.0839999999999983</v>
      </c>
    </row>
    <row r="202" spans="1:12" x14ac:dyDescent="0.25">
      <c r="A202" s="1">
        <v>45954</v>
      </c>
      <c r="B202">
        <v>103.7</v>
      </c>
      <c r="C202">
        <v>103.7</v>
      </c>
      <c r="D202">
        <v>103.7</v>
      </c>
      <c r="E202">
        <v>103.6</v>
      </c>
      <c r="F202" t="s">
        <v>173</v>
      </c>
      <c r="G202" s="7">
        <v>-1E-3</v>
      </c>
      <c r="H202" s="2">
        <f t="shared" si="12"/>
        <v>102.224</v>
      </c>
      <c r="I202" s="2">
        <f t="shared" si="14"/>
        <v>98.721000000000018</v>
      </c>
      <c r="J202" s="3">
        <f t="shared" si="15"/>
        <v>0.10436634717784865</v>
      </c>
      <c r="K202" s="2">
        <f t="shared" si="16"/>
        <v>0.10000000000000853</v>
      </c>
      <c r="L202" s="2">
        <f t="shared" si="13"/>
        <v>1.0439999999999983</v>
      </c>
    </row>
    <row r="203" spans="1:12" x14ac:dyDescent="0.25">
      <c r="A203" s="1">
        <v>45957</v>
      </c>
      <c r="B203">
        <v>103.4</v>
      </c>
      <c r="C203">
        <v>103.75</v>
      </c>
      <c r="D203">
        <v>103.75</v>
      </c>
      <c r="E203">
        <v>103</v>
      </c>
      <c r="F203" t="s">
        <v>41</v>
      </c>
      <c r="G203" s="7">
        <v>-2.8999999999999998E-3</v>
      </c>
      <c r="H203" s="2">
        <f t="shared" si="12"/>
        <v>102.2465</v>
      </c>
      <c r="I203" s="2">
        <f t="shared" si="14"/>
        <v>98.91500000000002</v>
      </c>
      <c r="J203" s="3">
        <f t="shared" si="15"/>
        <v>0.10117145899893498</v>
      </c>
      <c r="K203" s="2">
        <f t="shared" si="16"/>
        <v>0.75</v>
      </c>
      <c r="L203" s="2">
        <f t="shared" si="13"/>
        <v>0.97649999999999859</v>
      </c>
    </row>
    <row r="204" spans="1:12" x14ac:dyDescent="0.25">
      <c r="A204" s="1">
        <v>45958</v>
      </c>
      <c r="B204">
        <v>103.9</v>
      </c>
      <c r="C204">
        <v>103.7</v>
      </c>
      <c r="D204">
        <v>103.99</v>
      </c>
      <c r="E204">
        <v>103.2</v>
      </c>
      <c r="F204" t="s">
        <v>174</v>
      </c>
      <c r="G204" s="7">
        <v>4.7999999999999996E-3</v>
      </c>
      <c r="H204" s="2">
        <f t="shared" si="12"/>
        <v>102.26149999999998</v>
      </c>
      <c r="I204" s="2">
        <f t="shared" si="14"/>
        <v>99.119399999999999</v>
      </c>
      <c r="J204" s="3">
        <f t="shared" si="15"/>
        <v>0.10649627263045791</v>
      </c>
      <c r="K204" s="2">
        <f t="shared" si="16"/>
        <v>0.78999999999999204</v>
      </c>
      <c r="L204" s="2">
        <f t="shared" si="13"/>
        <v>0.96349999999999836</v>
      </c>
    </row>
    <row r="205" spans="1:12" x14ac:dyDescent="0.25">
      <c r="A205" s="1">
        <v>45959</v>
      </c>
      <c r="B205">
        <v>103.95</v>
      </c>
      <c r="C205">
        <v>104</v>
      </c>
      <c r="D205">
        <v>104</v>
      </c>
      <c r="E205">
        <v>103.4</v>
      </c>
      <c r="F205" t="s">
        <v>26</v>
      </c>
      <c r="G205" s="7">
        <v>5.0000000000000001E-4</v>
      </c>
      <c r="H205" s="2">
        <f t="shared" si="12"/>
        <v>102.309</v>
      </c>
      <c r="I205" s="2">
        <f t="shared" si="14"/>
        <v>99.324399999999983</v>
      </c>
      <c r="J205" s="3">
        <f t="shared" si="15"/>
        <v>0.10702875399361012</v>
      </c>
      <c r="K205" s="2">
        <f t="shared" si="16"/>
        <v>0.59999999999999432</v>
      </c>
      <c r="L205" s="2">
        <f t="shared" si="13"/>
        <v>0.94149999999999845</v>
      </c>
    </row>
    <row r="206" spans="1:12" x14ac:dyDescent="0.25">
      <c r="A206" s="1">
        <v>45960</v>
      </c>
      <c r="B206">
        <v>104.2</v>
      </c>
      <c r="C206">
        <v>103.95</v>
      </c>
      <c r="D206">
        <v>104.2</v>
      </c>
      <c r="E206">
        <v>103.95</v>
      </c>
      <c r="F206" t="s">
        <v>175</v>
      </c>
      <c r="G206" s="7">
        <v>2.3999999999999998E-3</v>
      </c>
      <c r="H206" s="2">
        <f t="shared" si="12"/>
        <v>102.369</v>
      </c>
      <c r="I206" s="2">
        <f t="shared" si="14"/>
        <v>99.532599999999988</v>
      </c>
      <c r="J206" s="3">
        <f t="shared" si="15"/>
        <v>0.10969116080937158</v>
      </c>
      <c r="K206" s="2">
        <f t="shared" si="16"/>
        <v>0.25</v>
      </c>
      <c r="L206" s="2">
        <f t="shared" si="13"/>
        <v>0.92149999999999888</v>
      </c>
    </row>
    <row r="207" spans="1:12" x14ac:dyDescent="0.25">
      <c r="A207" s="1">
        <v>45961</v>
      </c>
      <c r="B207">
        <v>105.48</v>
      </c>
      <c r="C207">
        <v>104.2</v>
      </c>
      <c r="D207">
        <v>105.48</v>
      </c>
      <c r="E207">
        <v>104.2</v>
      </c>
      <c r="F207" t="s">
        <v>176</v>
      </c>
      <c r="G207" s="7">
        <v>1.23E-2</v>
      </c>
      <c r="H207" s="2">
        <f t="shared" si="12"/>
        <v>102.49600000000001</v>
      </c>
      <c r="I207" s="2">
        <f t="shared" si="14"/>
        <v>99.764199999999988</v>
      </c>
      <c r="J207" s="3">
        <f t="shared" si="15"/>
        <v>0.12332268370607036</v>
      </c>
      <c r="K207" s="2">
        <f t="shared" si="16"/>
        <v>1.2800000000000011</v>
      </c>
      <c r="L207" s="2">
        <f t="shared" si="13"/>
        <v>0.78599999999999925</v>
      </c>
    </row>
    <row r="208" spans="1:12" x14ac:dyDescent="0.25">
      <c r="A208" s="1">
        <v>45964</v>
      </c>
      <c r="B208">
        <v>105.4</v>
      </c>
      <c r="C208">
        <v>105</v>
      </c>
      <c r="D208">
        <v>105.4</v>
      </c>
      <c r="E208">
        <v>104.4</v>
      </c>
      <c r="F208" t="s">
        <v>13</v>
      </c>
      <c r="G208" s="7">
        <v>-8.0000000000000004E-4</v>
      </c>
      <c r="H208" s="2">
        <f t="shared" si="12"/>
        <v>102.66600000000001</v>
      </c>
      <c r="I208" s="2">
        <f t="shared" si="14"/>
        <v>99.994199999999964</v>
      </c>
      <c r="J208" s="3">
        <f t="shared" si="15"/>
        <v>0.1224707135250267</v>
      </c>
      <c r="K208" s="2">
        <f t="shared" si="16"/>
        <v>1</v>
      </c>
      <c r="L208" s="2">
        <f t="shared" si="13"/>
        <v>0.80599999999999949</v>
      </c>
    </row>
    <row r="209" spans="1:12" x14ac:dyDescent="0.25">
      <c r="A209" s="1">
        <v>45965</v>
      </c>
      <c r="B209">
        <v>105.5</v>
      </c>
      <c r="C209">
        <v>105.4</v>
      </c>
      <c r="D209">
        <v>105.6</v>
      </c>
      <c r="E209">
        <v>104.5</v>
      </c>
      <c r="F209" t="s">
        <v>177</v>
      </c>
      <c r="G209" s="7">
        <v>8.9999999999999998E-4</v>
      </c>
      <c r="H209" s="2">
        <f t="shared" si="12"/>
        <v>102.8065</v>
      </c>
      <c r="I209" s="2">
        <f t="shared" si="14"/>
        <v>100.22419999999997</v>
      </c>
      <c r="J209" s="3">
        <f t="shared" si="15"/>
        <v>0.12353567625133111</v>
      </c>
      <c r="K209" s="2">
        <f t="shared" si="16"/>
        <v>1.0999999999999943</v>
      </c>
      <c r="L209" s="2">
        <f t="shared" si="13"/>
        <v>0.82149999999999967</v>
      </c>
    </row>
    <row r="210" spans="1:12" x14ac:dyDescent="0.25">
      <c r="A210" s="1">
        <v>45966</v>
      </c>
      <c r="B210">
        <v>106.94</v>
      </c>
      <c r="C210">
        <v>106</v>
      </c>
      <c r="D210">
        <v>107</v>
      </c>
      <c r="E210">
        <v>105.01</v>
      </c>
      <c r="F210" t="s">
        <v>178</v>
      </c>
      <c r="G210" s="7">
        <v>1.3599999999999999E-2</v>
      </c>
      <c r="H210" s="2">
        <f t="shared" si="12"/>
        <v>103.05400000000002</v>
      </c>
      <c r="I210" s="2">
        <f t="shared" si="14"/>
        <v>100.48459999999997</v>
      </c>
      <c r="J210" s="3">
        <f t="shared" si="15"/>
        <v>0.13887113951011698</v>
      </c>
      <c r="K210" s="2">
        <f t="shared" si="16"/>
        <v>1.9899999999999949</v>
      </c>
      <c r="L210" s="2">
        <f t="shared" si="13"/>
        <v>0.78599999999999925</v>
      </c>
    </row>
    <row r="211" spans="1:12" x14ac:dyDescent="0.25">
      <c r="A211" s="1">
        <v>45967</v>
      </c>
      <c r="B211">
        <v>107.5</v>
      </c>
      <c r="C211">
        <v>107.8</v>
      </c>
      <c r="D211">
        <v>107.8</v>
      </c>
      <c r="E211">
        <v>106.94</v>
      </c>
      <c r="F211" t="s">
        <v>179</v>
      </c>
      <c r="G211" s="7">
        <v>5.1999999999999998E-3</v>
      </c>
      <c r="H211" s="2">
        <f t="shared" si="12"/>
        <v>103.37899999999999</v>
      </c>
      <c r="I211" s="2">
        <f t="shared" si="14"/>
        <v>100.76039999999998</v>
      </c>
      <c r="J211" s="3">
        <f t="shared" si="15"/>
        <v>0.14483493077742282</v>
      </c>
      <c r="K211" s="2">
        <f t="shared" si="16"/>
        <v>0.85999999999999943</v>
      </c>
      <c r="L211" s="2">
        <f t="shared" si="13"/>
        <v>0.77999999999999903</v>
      </c>
    </row>
    <row r="212" spans="1:12" x14ac:dyDescent="0.25">
      <c r="A212" s="1">
        <v>45968</v>
      </c>
      <c r="B212">
        <v>108</v>
      </c>
      <c r="C212">
        <v>107.5</v>
      </c>
      <c r="D212">
        <v>109</v>
      </c>
      <c r="E212">
        <v>107</v>
      </c>
      <c r="F212" t="s">
        <v>180</v>
      </c>
      <c r="G212" s="7">
        <v>4.7000000000000002E-3</v>
      </c>
      <c r="H212" s="2">
        <f t="shared" si="12"/>
        <v>103.70900000000002</v>
      </c>
      <c r="I212" s="2">
        <f t="shared" si="14"/>
        <v>101.04039999999998</v>
      </c>
      <c r="J212" s="3">
        <f t="shared" si="15"/>
        <v>0.15015974440894553</v>
      </c>
      <c r="K212" s="2">
        <f t="shared" si="16"/>
        <v>2</v>
      </c>
      <c r="L212" s="2">
        <f t="shared" si="13"/>
        <v>0.83099999999999885</v>
      </c>
    </row>
    <row r="213" spans="1:12" x14ac:dyDescent="0.25">
      <c r="A213" s="1">
        <v>45971</v>
      </c>
      <c r="B213">
        <v>108.6</v>
      </c>
      <c r="C213">
        <v>110</v>
      </c>
      <c r="D213">
        <v>111.3</v>
      </c>
      <c r="E213">
        <v>108.01</v>
      </c>
      <c r="F213" t="s">
        <v>28</v>
      </c>
      <c r="G213" s="7">
        <v>5.5999999999999999E-3</v>
      </c>
      <c r="H213" s="2">
        <f t="shared" si="12"/>
        <v>104.069</v>
      </c>
      <c r="I213" s="2">
        <f t="shared" si="14"/>
        <v>101.33239999999998</v>
      </c>
      <c r="J213" s="3">
        <f t="shared" si="15"/>
        <v>0.15654952076677309</v>
      </c>
      <c r="K213" s="2">
        <f t="shared" si="16"/>
        <v>3.289999999999992</v>
      </c>
      <c r="L213" s="2">
        <f t="shared" si="13"/>
        <v>0.94649999999999823</v>
      </c>
    </row>
    <row r="214" spans="1:12" x14ac:dyDescent="0.25">
      <c r="A214" s="1">
        <v>45972</v>
      </c>
      <c r="B214">
        <v>108.8</v>
      </c>
      <c r="C214">
        <v>108.6</v>
      </c>
      <c r="D214">
        <v>109.9</v>
      </c>
      <c r="E214">
        <v>108.59</v>
      </c>
      <c r="F214" t="s">
        <v>181</v>
      </c>
      <c r="G214" s="7">
        <v>1.8E-3</v>
      </c>
      <c r="H214" s="2">
        <f t="shared" ref="H214:H277" si="17">AVERAGE(B195:B214)</f>
        <v>104.4105</v>
      </c>
      <c r="I214" s="2">
        <f t="shared" si="14"/>
        <v>101.62839999999998</v>
      </c>
      <c r="J214" s="3">
        <f t="shared" si="15"/>
        <v>0.15867944621938213</v>
      </c>
      <c r="K214" s="2">
        <f t="shared" si="16"/>
        <v>1.3100000000000023</v>
      </c>
      <c r="L214" s="2">
        <f t="shared" ref="L214:L277" si="18">AVERAGE(K195:K214)</f>
        <v>1.0104999999999982</v>
      </c>
    </row>
    <row r="215" spans="1:12" x14ac:dyDescent="0.25">
      <c r="A215" s="1"/>
      <c r="G215" s="7"/>
      <c r="H215" s="2">
        <f t="shared" si="17"/>
        <v>104.54052631578948</v>
      </c>
      <c r="I215" s="2">
        <f t="shared" si="14"/>
        <v>101.78408163265304</v>
      </c>
      <c r="J215" s="3">
        <f t="shared" si="15"/>
        <v>-1</v>
      </c>
      <c r="K215" s="2">
        <f t="shared" si="16"/>
        <v>0</v>
      </c>
      <c r="L215" s="2">
        <f t="shared" si="18"/>
        <v>0.97399999999999809</v>
      </c>
    </row>
    <row r="216" spans="1:12" x14ac:dyDescent="0.25">
      <c r="A216" s="1"/>
      <c r="G216" s="7"/>
      <c r="H216" s="2">
        <f t="shared" si="17"/>
        <v>104.73166666666667</v>
      </c>
      <c r="I216" s="2">
        <f t="shared" si="14"/>
        <v>101.95145833333332</v>
      </c>
      <c r="J216" s="3">
        <f t="shared" si="15"/>
        <v>-1</v>
      </c>
      <c r="K216" s="2">
        <f t="shared" si="16"/>
        <v>0</v>
      </c>
      <c r="L216" s="2">
        <f t="shared" si="18"/>
        <v>0.93899999999999795</v>
      </c>
    </row>
    <row r="217" spans="1:12" x14ac:dyDescent="0.25">
      <c r="A217" s="1"/>
      <c r="G217" s="7"/>
      <c r="H217" s="2">
        <f t="shared" si="17"/>
        <v>104.94529411764705</v>
      </c>
      <c r="I217" s="2">
        <f t="shared" si="14"/>
        <v>102.08872340425532</v>
      </c>
      <c r="J217" s="3">
        <f t="shared" si="15"/>
        <v>-1</v>
      </c>
      <c r="K217" s="2">
        <f t="shared" si="16"/>
        <v>0</v>
      </c>
      <c r="L217" s="2">
        <f t="shared" si="18"/>
        <v>0.91149999999999809</v>
      </c>
    </row>
    <row r="218" spans="1:12" x14ac:dyDescent="0.25">
      <c r="A218" s="1"/>
      <c r="G218" s="7"/>
      <c r="H218" s="2">
        <f t="shared" si="17"/>
        <v>105.18875</v>
      </c>
      <c r="I218" s="2">
        <f t="shared" si="14"/>
        <v>102.23434782608697</v>
      </c>
      <c r="J218" s="3">
        <f t="shared" si="15"/>
        <v>-1</v>
      </c>
      <c r="K218" s="2">
        <f t="shared" si="16"/>
        <v>0</v>
      </c>
      <c r="L218" s="2">
        <f t="shared" si="18"/>
        <v>0.90649999999999831</v>
      </c>
    </row>
    <row r="219" spans="1:12" x14ac:dyDescent="0.25">
      <c r="A219" s="1"/>
      <c r="G219" s="7"/>
      <c r="H219" s="2">
        <f t="shared" si="17"/>
        <v>105.46466666666667</v>
      </c>
      <c r="I219" s="2">
        <f t="shared" si="14"/>
        <v>102.4017777777778</v>
      </c>
      <c r="J219" s="3">
        <f t="shared" si="15"/>
        <v>-1</v>
      </c>
      <c r="K219" s="2">
        <f t="shared" si="16"/>
        <v>0</v>
      </c>
      <c r="L219" s="2">
        <f t="shared" si="18"/>
        <v>0.87649999999999861</v>
      </c>
    </row>
    <row r="220" spans="1:12" x14ac:dyDescent="0.25">
      <c r="A220" s="1"/>
      <c r="G220" s="7"/>
      <c r="H220" s="2">
        <f t="shared" si="17"/>
        <v>105.65499999999999</v>
      </c>
      <c r="I220" s="2">
        <f t="shared" si="14"/>
        <v>102.54727272727274</v>
      </c>
      <c r="J220" s="3">
        <f t="shared" si="15"/>
        <v>-1</v>
      </c>
      <c r="K220" s="2">
        <f t="shared" si="16"/>
        <v>0</v>
      </c>
      <c r="L220" s="2">
        <f t="shared" si="18"/>
        <v>0.8109999999999985</v>
      </c>
    </row>
    <row r="221" spans="1:12" x14ac:dyDescent="0.25">
      <c r="A221" s="1"/>
      <c r="G221" s="7"/>
      <c r="H221" s="2">
        <f t="shared" si="17"/>
        <v>105.7976923076923</v>
      </c>
      <c r="I221" s="2">
        <f t="shared" si="14"/>
        <v>102.70441860465118</v>
      </c>
      <c r="J221" s="3">
        <f t="shared" si="15"/>
        <v>-1</v>
      </c>
      <c r="K221" s="2">
        <f t="shared" si="16"/>
        <v>0</v>
      </c>
      <c r="L221" s="2">
        <f t="shared" si="18"/>
        <v>0.7659999999999989</v>
      </c>
    </row>
    <row r="222" spans="1:12" x14ac:dyDescent="0.25">
      <c r="A222" s="1"/>
      <c r="G222" s="7"/>
      <c r="H222" s="2">
        <f t="shared" si="17"/>
        <v>105.97249999999998</v>
      </c>
      <c r="I222" s="2">
        <f t="shared" si="14"/>
        <v>102.81880952380953</v>
      </c>
      <c r="J222" s="3">
        <f t="shared" si="15"/>
        <v>-1</v>
      </c>
      <c r="K222" s="2">
        <f t="shared" si="16"/>
        <v>0</v>
      </c>
      <c r="L222" s="2">
        <f t="shared" si="18"/>
        <v>0.76099999999999857</v>
      </c>
    </row>
    <row r="223" spans="1:12" x14ac:dyDescent="0.25">
      <c r="A223" s="1"/>
      <c r="G223" s="7"/>
      <c r="H223" s="2">
        <f t="shared" si="17"/>
        <v>106.20636363636363</v>
      </c>
      <c r="I223" s="2">
        <f t="shared" si="14"/>
        <v>102.94390243902441</v>
      </c>
      <c r="J223" s="3">
        <f t="shared" si="15"/>
        <v>-1</v>
      </c>
      <c r="K223" s="2">
        <f t="shared" si="16"/>
        <v>0</v>
      </c>
      <c r="L223" s="2">
        <f t="shared" si="18"/>
        <v>0.72349999999999848</v>
      </c>
    </row>
    <row r="224" spans="1:12" x14ac:dyDescent="0.25">
      <c r="A224" s="1"/>
      <c r="G224" s="7"/>
      <c r="H224" s="2">
        <f t="shared" si="17"/>
        <v>106.43700000000001</v>
      </c>
      <c r="I224" s="2">
        <f t="shared" si="14"/>
        <v>103.07550000000001</v>
      </c>
      <c r="J224" s="3">
        <f t="shared" si="15"/>
        <v>-1</v>
      </c>
      <c r="K224" s="2">
        <f t="shared" si="16"/>
        <v>0</v>
      </c>
      <c r="L224" s="2">
        <f t="shared" si="18"/>
        <v>0.68399999999999894</v>
      </c>
    </row>
    <row r="225" spans="1:12" x14ac:dyDescent="0.25">
      <c r="A225" s="1"/>
      <c r="G225" s="7"/>
      <c r="H225" s="2">
        <f t="shared" si="17"/>
        <v>106.71333333333332</v>
      </c>
      <c r="I225" s="2">
        <f t="shared" si="14"/>
        <v>103.18282051282054</v>
      </c>
      <c r="J225" s="3">
        <f t="shared" si="15"/>
        <v>-1</v>
      </c>
      <c r="K225" s="2">
        <f t="shared" si="16"/>
        <v>0</v>
      </c>
      <c r="L225" s="2">
        <f t="shared" si="18"/>
        <v>0.65399999999999925</v>
      </c>
    </row>
    <row r="226" spans="1:12" x14ac:dyDescent="0.25">
      <c r="A226" s="1"/>
      <c r="G226" s="7"/>
      <c r="H226" s="2">
        <f t="shared" si="17"/>
        <v>107.02749999999999</v>
      </c>
      <c r="I226" s="2">
        <f t="shared" si="14"/>
        <v>103.24026315789476</v>
      </c>
      <c r="J226" s="3">
        <f t="shared" si="15"/>
        <v>-1</v>
      </c>
      <c r="K226" s="2">
        <f t="shared" si="16"/>
        <v>0</v>
      </c>
      <c r="L226" s="2">
        <f t="shared" si="18"/>
        <v>0.64149999999999918</v>
      </c>
    </row>
    <row r="227" spans="1:12" x14ac:dyDescent="0.25">
      <c r="A227" s="1"/>
      <c r="G227" s="7"/>
      <c r="H227" s="2">
        <f t="shared" si="17"/>
        <v>107.24857142857142</v>
      </c>
      <c r="I227" s="2">
        <f t="shared" si="14"/>
        <v>103.30081081081083</v>
      </c>
      <c r="J227" s="3">
        <f t="shared" si="15"/>
        <v>-1</v>
      </c>
      <c r="K227" s="2">
        <f t="shared" si="16"/>
        <v>0</v>
      </c>
      <c r="L227" s="2">
        <f t="shared" si="18"/>
        <v>0.57749999999999913</v>
      </c>
    </row>
    <row r="228" spans="1:12" x14ac:dyDescent="0.25">
      <c r="A228" s="1"/>
      <c r="G228" s="7"/>
      <c r="H228" s="2">
        <f t="shared" si="17"/>
        <v>107.55666666666666</v>
      </c>
      <c r="I228" s="2">
        <f t="shared" si="14"/>
        <v>103.36472222222224</v>
      </c>
      <c r="J228" s="3">
        <f t="shared" si="15"/>
        <v>-1</v>
      </c>
      <c r="K228" s="2">
        <f t="shared" si="16"/>
        <v>0</v>
      </c>
      <c r="L228" s="2">
        <f t="shared" si="18"/>
        <v>0.52749999999999919</v>
      </c>
    </row>
    <row r="229" spans="1:12" x14ac:dyDescent="0.25">
      <c r="A229" s="1"/>
      <c r="G229" s="7"/>
      <c r="H229" s="2">
        <f t="shared" si="17"/>
        <v>107.96799999999999</v>
      </c>
      <c r="I229" s="2">
        <f t="shared" si="14"/>
        <v>103.43228571428571</v>
      </c>
      <c r="J229" s="3">
        <f t="shared" si="15"/>
        <v>-1</v>
      </c>
      <c r="K229" s="2">
        <f t="shared" si="16"/>
        <v>0</v>
      </c>
      <c r="L229" s="2">
        <f t="shared" si="18"/>
        <v>0.47249999999999942</v>
      </c>
    </row>
    <row r="230" spans="1:12" x14ac:dyDescent="0.25">
      <c r="A230" s="1"/>
      <c r="G230" s="7"/>
      <c r="H230" s="2">
        <f t="shared" si="17"/>
        <v>108.22500000000001</v>
      </c>
      <c r="I230" s="2">
        <f t="shared" si="14"/>
        <v>103.5085294117647</v>
      </c>
      <c r="J230" s="3">
        <f t="shared" si="15"/>
        <v>-1</v>
      </c>
      <c r="K230" s="2">
        <f t="shared" si="16"/>
        <v>0</v>
      </c>
      <c r="L230" s="2">
        <f t="shared" si="18"/>
        <v>0.37299999999999967</v>
      </c>
    </row>
    <row r="231" spans="1:12" x14ac:dyDescent="0.25">
      <c r="A231" s="1"/>
      <c r="G231" s="7"/>
      <c r="H231" s="2">
        <f t="shared" si="17"/>
        <v>108.46666666666665</v>
      </c>
      <c r="I231" s="2">
        <f t="shared" si="14"/>
        <v>103.57727272727273</v>
      </c>
      <c r="J231" s="3">
        <f t="shared" si="15"/>
        <v>-1</v>
      </c>
      <c r="K231" s="2">
        <f t="shared" si="16"/>
        <v>0</v>
      </c>
      <c r="L231" s="2">
        <f t="shared" si="18"/>
        <v>0.32999999999999974</v>
      </c>
    </row>
    <row r="232" spans="1:12" x14ac:dyDescent="0.25">
      <c r="A232" s="1"/>
      <c r="G232" s="7"/>
      <c r="H232" s="2">
        <f t="shared" si="17"/>
        <v>108.69999999999999</v>
      </c>
      <c r="I232" s="2">
        <f t="shared" si="14"/>
        <v>103.6296875</v>
      </c>
      <c r="J232" s="3">
        <f t="shared" si="15"/>
        <v>-1</v>
      </c>
      <c r="K232" s="2">
        <f t="shared" si="16"/>
        <v>0</v>
      </c>
      <c r="L232" s="2">
        <f t="shared" si="18"/>
        <v>0.2299999999999997</v>
      </c>
    </row>
    <row r="233" spans="1:12" x14ac:dyDescent="0.25">
      <c r="A233" s="1"/>
      <c r="G233" s="7"/>
      <c r="H233" s="2">
        <f t="shared" si="17"/>
        <v>108.8</v>
      </c>
      <c r="I233" s="2">
        <f t="shared" si="14"/>
        <v>103.6516129032258</v>
      </c>
      <c r="J233" s="3">
        <f t="shared" si="15"/>
        <v>-1</v>
      </c>
      <c r="K233" s="2">
        <f t="shared" si="16"/>
        <v>0</v>
      </c>
      <c r="L233" s="2">
        <f t="shared" si="18"/>
        <v>6.5500000000000114E-2</v>
      </c>
    </row>
    <row r="234" spans="1:12" x14ac:dyDescent="0.25">
      <c r="A234" s="1"/>
      <c r="G234" s="7"/>
      <c r="H234" s="2" t="e">
        <f t="shared" si="17"/>
        <v>#DIV/0!</v>
      </c>
      <c r="I234" s="2">
        <f t="shared" si="14"/>
        <v>103.65333333333334</v>
      </c>
      <c r="J234" s="3">
        <f t="shared" si="15"/>
        <v>-1</v>
      </c>
      <c r="K234" s="2">
        <f t="shared" si="16"/>
        <v>0</v>
      </c>
      <c r="L234" s="2">
        <f t="shared" si="18"/>
        <v>0</v>
      </c>
    </row>
    <row r="235" spans="1:12" x14ac:dyDescent="0.25">
      <c r="A235" s="1"/>
      <c r="G235" s="7"/>
      <c r="H235" s="2" t="e">
        <f t="shared" si="17"/>
        <v>#DIV/0!</v>
      </c>
      <c r="I235" s="2">
        <f t="shared" si="14"/>
        <v>103.67586206896551</v>
      </c>
      <c r="J235" s="3">
        <f t="shared" si="15"/>
        <v>-1</v>
      </c>
      <c r="K235" s="2">
        <f t="shared" si="16"/>
        <v>0</v>
      </c>
      <c r="L235" s="2">
        <f t="shared" si="18"/>
        <v>0</v>
      </c>
    </row>
    <row r="236" spans="1:12" x14ac:dyDescent="0.25">
      <c r="A236" s="1"/>
      <c r="G236" s="7"/>
      <c r="H236" s="2" t="e">
        <f t="shared" si="17"/>
        <v>#DIV/0!</v>
      </c>
      <c r="I236" s="2">
        <f t="shared" si="14"/>
        <v>103.70000000000002</v>
      </c>
      <c r="J236" s="3">
        <f t="shared" si="15"/>
        <v>-1</v>
      </c>
      <c r="K236" s="2">
        <f t="shared" si="16"/>
        <v>0</v>
      </c>
      <c r="L236" s="2">
        <f t="shared" si="18"/>
        <v>0</v>
      </c>
    </row>
    <row r="237" spans="1:12" x14ac:dyDescent="0.25">
      <c r="A237" s="1"/>
      <c r="G237" s="7"/>
      <c r="H237" s="2" t="e">
        <f t="shared" si="17"/>
        <v>#DIV/0!</v>
      </c>
      <c r="I237" s="2">
        <f t="shared" si="14"/>
        <v>103.72814814814816</v>
      </c>
      <c r="J237" s="3">
        <f t="shared" si="15"/>
        <v>-1</v>
      </c>
      <c r="K237" s="2">
        <f t="shared" si="16"/>
        <v>0</v>
      </c>
      <c r="L237" s="2">
        <f t="shared" si="18"/>
        <v>0</v>
      </c>
    </row>
    <row r="238" spans="1:12" x14ac:dyDescent="0.25">
      <c r="A238" s="1"/>
      <c r="G238" s="7"/>
      <c r="H238" s="2" t="e">
        <f t="shared" si="17"/>
        <v>#DIV/0!</v>
      </c>
      <c r="I238" s="2">
        <f t="shared" si="14"/>
        <v>103.7946153846154</v>
      </c>
      <c r="J238" s="3">
        <f t="shared" si="15"/>
        <v>-1</v>
      </c>
      <c r="K238" s="2">
        <f t="shared" si="16"/>
        <v>0</v>
      </c>
      <c r="L238" s="2">
        <f t="shared" si="18"/>
        <v>0</v>
      </c>
    </row>
    <row r="239" spans="1:12" x14ac:dyDescent="0.25">
      <c r="A239" s="1"/>
      <c r="G239" s="7"/>
      <c r="H239" s="2" t="e">
        <f t="shared" si="17"/>
        <v>#DIV/0!</v>
      </c>
      <c r="I239" s="2">
        <f t="shared" si="14"/>
        <v>103.83880000000001</v>
      </c>
      <c r="J239" s="3">
        <f t="shared" si="15"/>
        <v>-1</v>
      </c>
      <c r="K239" s="2">
        <f t="shared" si="16"/>
        <v>0</v>
      </c>
      <c r="L239" s="2">
        <f t="shared" si="18"/>
        <v>0</v>
      </c>
    </row>
    <row r="240" spans="1:12" x14ac:dyDescent="0.25">
      <c r="A240" s="1"/>
      <c r="G240" s="7"/>
      <c r="H240" s="2" t="e">
        <f t="shared" si="17"/>
        <v>#DIV/0!</v>
      </c>
      <c r="I240" s="2">
        <f t="shared" si="14"/>
        <v>103.91583333333335</v>
      </c>
      <c r="J240" s="3">
        <f t="shared" si="15"/>
        <v>-1</v>
      </c>
      <c r="K240" s="2">
        <f t="shared" si="16"/>
        <v>0</v>
      </c>
      <c r="L240" s="2">
        <f t="shared" si="18"/>
        <v>0</v>
      </c>
    </row>
    <row r="241" spans="1:12" x14ac:dyDescent="0.25">
      <c r="A241" s="1"/>
      <c r="G241" s="7"/>
      <c r="H241" s="2" t="e">
        <f t="shared" si="17"/>
        <v>#DIV/0!</v>
      </c>
      <c r="I241" s="2">
        <f t="shared" si="14"/>
        <v>104.04260869565218</v>
      </c>
      <c r="J241" s="3">
        <f t="shared" si="15"/>
        <v>-1</v>
      </c>
      <c r="K241" s="2">
        <f t="shared" si="16"/>
        <v>0</v>
      </c>
      <c r="L241" s="2">
        <f t="shared" si="18"/>
        <v>0</v>
      </c>
    </row>
    <row r="242" spans="1:12" x14ac:dyDescent="0.25">
      <c r="A242" s="1"/>
      <c r="G242" s="7"/>
      <c r="H242" s="2" t="e">
        <f t="shared" si="17"/>
        <v>#DIV/0!</v>
      </c>
      <c r="I242" s="2">
        <f t="shared" si="14"/>
        <v>104.1627272727273</v>
      </c>
      <c r="J242" s="3">
        <f t="shared" si="15"/>
        <v>-1</v>
      </c>
      <c r="K242" s="2">
        <f t="shared" si="16"/>
        <v>0</v>
      </c>
      <c r="L242" s="2">
        <f t="shared" si="18"/>
        <v>0</v>
      </c>
    </row>
    <row r="243" spans="1:12" x14ac:dyDescent="0.25">
      <c r="A243" s="1"/>
      <c r="G243" s="7"/>
      <c r="H243" s="2" t="e">
        <f t="shared" si="17"/>
        <v>#DIV/0!</v>
      </c>
      <c r="I243" s="2">
        <f t="shared" si="14"/>
        <v>104.29428571428573</v>
      </c>
      <c r="J243" s="3">
        <f t="shared" si="15"/>
        <v>-1</v>
      </c>
      <c r="K243" s="2">
        <f t="shared" si="16"/>
        <v>0</v>
      </c>
      <c r="L243" s="2">
        <f t="shared" si="18"/>
        <v>0</v>
      </c>
    </row>
    <row r="244" spans="1:12" x14ac:dyDescent="0.25">
      <c r="A244" s="1"/>
      <c r="G244" s="7"/>
      <c r="H244" s="2" t="e">
        <f t="shared" si="17"/>
        <v>#DIV/0!</v>
      </c>
      <c r="I244" s="2">
        <f t="shared" ref="I244:I307" si="19">AVERAGE(B195:B244)</f>
        <v>104.4105</v>
      </c>
      <c r="J244" s="3">
        <f t="shared" si="15"/>
        <v>-1</v>
      </c>
      <c r="K244" s="2">
        <f t="shared" si="16"/>
        <v>0</v>
      </c>
      <c r="L244" s="2">
        <f t="shared" si="18"/>
        <v>0</v>
      </c>
    </row>
    <row r="245" spans="1:12" x14ac:dyDescent="0.25">
      <c r="A245" s="1"/>
      <c r="G245" s="7"/>
      <c r="H245" s="2" t="e">
        <f t="shared" si="17"/>
        <v>#DIV/0!</v>
      </c>
      <c r="I245" s="2">
        <f t="shared" si="19"/>
        <v>104.54052631578948</v>
      </c>
      <c r="J245" s="3">
        <f t="shared" si="15"/>
        <v>-1</v>
      </c>
      <c r="K245" s="2">
        <f t="shared" si="16"/>
        <v>0</v>
      </c>
      <c r="L245" s="2">
        <f t="shared" si="18"/>
        <v>0</v>
      </c>
    </row>
    <row r="246" spans="1:12" x14ac:dyDescent="0.25">
      <c r="A246" s="1"/>
      <c r="G246" s="7"/>
      <c r="H246" s="2" t="e">
        <f t="shared" si="17"/>
        <v>#DIV/0!</v>
      </c>
      <c r="I246" s="2">
        <f t="shared" si="19"/>
        <v>104.73166666666667</v>
      </c>
      <c r="J246" s="3">
        <f t="shared" si="15"/>
        <v>-1</v>
      </c>
      <c r="K246" s="2">
        <f t="shared" si="16"/>
        <v>0</v>
      </c>
      <c r="L246" s="2">
        <f t="shared" si="18"/>
        <v>0</v>
      </c>
    </row>
    <row r="247" spans="1:12" x14ac:dyDescent="0.25">
      <c r="A247" s="1"/>
      <c r="G247" s="7"/>
      <c r="H247" s="2" t="e">
        <f t="shared" si="17"/>
        <v>#DIV/0!</v>
      </c>
      <c r="I247" s="2">
        <f t="shared" si="19"/>
        <v>104.94529411764705</v>
      </c>
      <c r="J247" s="3">
        <f t="shared" si="15"/>
        <v>-1</v>
      </c>
      <c r="K247" s="2">
        <f t="shared" si="16"/>
        <v>0</v>
      </c>
      <c r="L247" s="2">
        <f t="shared" si="18"/>
        <v>0</v>
      </c>
    </row>
    <row r="248" spans="1:12" x14ac:dyDescent="0.25">
      <c r="A248" s="1"/>
      <c r="G248" s="7"/>
      <c r="H248" s="2" t="e">
        <f t="shared" si="17"/>
        <v>#DIV/0!</v>
      </c>
      <c r="I248" s="2">
        <f t="shared" si="19"/>
        <v>105.18875</v>
      </c>
      <c r="J248" s="3">
        <f t="shared" si="15"/>
        <v>-1</v>
      </c>
      <c r="K248" s="2">
        <f t="shared" si="16"/>
        <v>0</v>
      </c>
      <c r="L248" s="2">
        <f t="shared" si="18"/>
        <v>0</v>
      </c>
    </row>
    <row r="249" spans="1:12" x14ac:dyDescent="0.25">
      <c r="A249" s="1"/>
      <c r="G249" s="7"/>
      <c r="H249" s="2" t="e">
        <f t="shared" si="17"/>
        <v>#DIV/0!</v>
      </c>
      <c r="I249" s="2">
        <f t="shared" si="19"/>
        <v>105.46466666666667</v>
      </c>
      <c r="J249" s="3">
        <f t="shared" si="15"/>
        <v>-1</v>
      </c>
      <c r="K249" s="2">
        <f t="shared" si="16"/>
        <v>0</v>
      </c>
      <c r="L249" s="2">
        <f t="shared" si="18"/>
        <v>0</v>
      </c>
    </row>
    <row r="250" spans="1:12" x14ac:dyDescent="0.25">
      <c r="A250" s="1"/>
      <c r="G250" s="7"/>
      <c r="H250" s="2" t="e">
        <f t="shared" si="17"/>
        <v>#DIV/0!</v>
      </c>
      <c r="I250" s="2">
        <f t="shared" si="19"/>
        <v>105.65499999999999</v>
      </c>
      <c r="J250" s="3">
        <f t="shared" si="15"/>
        <v>-1</v>
      </c>
      <c r="K250" s="2">
        <f t="shared" si="16"/>
        <v>0</v>
      </c>
      <c r="L250" s="2">
        <f t="shared" si="18"/>
        <v>0</v>
      </c>
    </row>
    <row r="251" spans="1:12" x14ac:dyDescent="0.25">
      <c r="A251" s="1"/>
      <c r="G251" s="7"/>
      <c r="H251" s="2" t="e">
        <f t="shared" si="17"/>
        <v>#DIV/0!</v>
      </c>
      <c r="I251" s="2">
        <f t="shared" si="19"/>
        <v>105.7976923076923</v>
      </c>
      <c r="J251" s="3">
        <f t="shared" si="15"/>
        <v>-1</v>
      </c>
      <c r="K251" s="2">
        <f t="shared" si="16"/>
        <v>0</v>
      </c>
      <c r="L251" s="2">
        <f t="shared" si="18"/>
        <v>0</v>
      </c>
    </row>
    <row r="252" spans="1:12" x14ac:dyDescent="0.25">
      <c r="A252" s="1"/>
      <c r="G252" s="7"/>
      <c r="H252" s="2" t="e">
        <f t="shared" si="17"/>
        <v>#DIV/0!</v>
      </c>
      <c r="I252" s="2">
        <f t="shared" si="19"/>
        <v>105.97249999999998</v>
      </c>
      <c r="J252" s="3">
        <f t="shared" si="15"/>
        <v>-1</v>
      </c>
      <c r="K252" s="2">
        <f t="shared" si="16"/>
        <v>0</v>
      </c>
      <c r="L252" s="2">
        <f t="shared" si="18"/>
        <v>0</v>
      </c>
    </row>
    <row r="253" spans="1:12" x14ac:dyDescent="0.25">
      <c r="A253" s="1"/>
      <c r="G253" s="7"/>
      <c r="H253" s="2" t="e">
        <f t="shared" si="17"/>
        <v>#DIV/0!</v>
      </c>
      <c r="I253" s="2">
        <f t="shared" si="19"/>
        <v>106.20636363636363</v>
      </c>
      <c r="J253" s="3">
        <f t="shared" si="15"/>
        <v>-1</v>
      </c>
      <c r="K253" s="2">
        <f t="shared" si="16"/>
        <v>0</v>
      </c>
      <c r="L253" s="2">
        <f t="shared" si="18"/>
        <v>0</v>
      </c>
    </row>
    <row r="254" spans="1:12" x14ac:dyDescent="0.25">
      <c r="A254" s="1"/>
      <c r="G254" s="7"/>
      <c r="H254" s="2" t="e">
        <f t="shared" si="17"/>
        <v>#DIV/0!</v>
      </c>
      <c r="I254" s="2">
        <f t="shared" si="19"/>
        <v>106.43700000000001</v>
      </c>
      <c r="J254" s="3">
        <f t="shared" si="15"/>
        <v>-1</v>
      </c>
      <c r="K254" s="2">
        <f t="shared" si="16"/>
        <v>0</v>
      </c>
      <c r="L254" s="2">
        <f t="shared" si="18"/>
        <v>0</v>
      </c>
    </row>
    <row r="255" spans="1:12" x14ac:dyDescent="0.25">
      <c r="A255" s="1"/>
      <c r="G255" s="7"/>
      <c r="H255" s="2" t="e">
        <f t="shared" si="17"/>
        <v>#DIV/0!</v>
      </c>
      <c r="I255" s="2">
        <f t="shared" si="19"/>
        <v>106.71333333333332</v>
      </c>
      <c r="J255" s="3">
        <f t="shared" si="15"/>
        <v>-1</v>
      </c>
      <c r="K255" s="2">
        <f t="shared" si="16"/>
        <v>0</v>
      </c>
      <c r="L255" s="2">
        <f t="shared" si="18"/>
        <v>0</v>
      </c>
    </row>
    <row r="256" spans="1:12" x14ac:dyDescent="0.25">
      <c r="A256" s="1"/>
      <c r="G256" s="7"/>
      <c r="H256" s="2" t="e">
        <f t="shared" si="17"/>
        <v>#DIV/0!</v>
      </c>
      <c r="I256" s="2">
        <f t="shared" si="19"/>
        <v>107.02749999999999</v>
      </c>
      <c r="J256" s="3">
        <f t="shared" si="15"/>
        <v>-1</v>
      </c>
      <c r="K256" s="2">
        <f t="shared" si="16"/>
        <v>0</v>
      </c>
      <c r="L256" s="2">
        <f t="shared" si="18"/>
        <v>0</v>
      </c>
    </row>
    <row r="257" spans="1:12" x14ac:dyDescent="0.25">
      <c r="A257" s="1"/>
      <c r="G257" s="7"/>
      <c r="H257" s="2" t="e">
        <f t="shared" si="17"/>
        <v>#DIV/0!</v>
      </c>
      <c r="I257" s="2">
        <f t="shared" si="19"/>
        <v>107.24857142857142</v>
      </c>
      <c r="J257" s="3">
        <f t="shared" si="15"/>
        <v>-1</v>
      </c>
      <c r="K257" s="2">
        <f t="shared" si="16"/>
        <v>0</v>
      </c>
      <c r="L257" s="2">
        <f t="shared" si="18"/>
        <v>0</v>
      </c>
    </row>
    <row r="258" spans="1:12" x14ac:dyDescent="0.25">
      <c r="A258" s="1"/>
      <c r="G258" s="7"/>
      <c r="H258" s="2" t="e">
        <f t="shared" si="17"/>
        <v>#DIV/0!</v>
      </c>
      <c r="I258" s="2">
        <f t="shared" si="19"/>
        <v>107.55666666666666</v>
      </c>
      <c r="J258" s="3">
        <f t="shared" si="15"/>
        <v>-1</v>
      </c>
      <c r="K258" s="2">
        <f t="shared" si="16"/>
        <v>0</v>
      </c>
      <c r="L258" s="2">
        <f t="shared" si="18"/>
        <v>0</v>
      </c>
    </row>
    <row r="259" spans="1:12" x14ac:dyDescent="0.25">
      <c r="A259" s="1"/>
      <c r="G259" s="7"/>
      <c r="H259" s="2" t="e">
        <f t="shared" si="17"/>
        <v>#DIV/0!</v>
      </c>
      <c r="I259" s="2">
        <f t="shared" si="19"/>
        <v>107.96799999999999</v>
      </c>
      <c r="J259" s="3">
        <f t="shared" ref="J259:J322" si="20">(B259/$B$2)-1</f>
        <v>-1</v>
      </c>
      <c r="K259" s="2">
        <f t="shared" ref="K259:K322" si="21">D259-E259</f>
        <v>0</v>
      </c>
      <c r="L259" s="2">
        <f t="shared" si="18"/>
        <v>0</v>
      </c>
    </row>
    <row r="260" spans="1:12" x14ac:dyDescent="0.25">
      <c r="A260" s="1"/>
      <c r="G260" s="7"/>
      <c r="H260" s="2" t="e">
        <f t="shared" si="17"/>
        <v>#DIV/0!</v>
      </c>
      <c r="I260" s="2">
        <f t="shared" si="19"/>
        <v>108.22500000000001</v>
      </c>
      <c r="J260" s="3">
        <f t="shared" si="20"/>
        <v>-1</v>
      </c>
      <c r="K260" s="2">
        <f t="shared" si="21"/>
        <v>0</v>
      </c>
      <c r="L260" s="2">
        <f t="shared" si="18"/>
        <v>0</v>
      </c>
    </row>
    <row r="261" spans="1:12" x14ac:dyDescent="0.25">
      <c r="A261" s="1"/>
      <c r="G261" s="7"/>
      <c r="H261" s="2" t="e">
        <f t="shared" si="17"/>
        <v>#DIV/0!</v>
      </c>
      <c r="I261" s="2">
        <f t="shared" si="19"/>
        <v>108.46666666666665</v>
      </c>
      <c r="J261" s="3">
        <f t="shared" si="20"/>
        <v>-1</v>
      </c>
      <c r="K261" s="2">
        <f t="shared" si="21"/>
        <v>0</v>
      </c>
      <c r="L261" s="2">
        <f t="shared" si="18"/>
        <v>0</v>
      </c>
    </row>
    <row r="262" spans="1:12" x14ac:dyDescent="0.25">
      <c r="A262" s="1"/>
      <c r="G262" s="7"/>
      <c r="H262" s="2" t="e">
        <f t="shared" si="17"/>
        <v>#DIV/0!</v>
      </c>
      <c r="I262" s="2">
        <f t="shared" si="19"/>
        <v>108.69999999999999</v>
      </c>
      <c r="J262" s="3">
        <f t="shared" si="20"/>
        <v>-1</v>
      </c>
      <c r="K262" s="2">
        <f t="shared" si="21"/>
        <v>0</v>
      </c>
      <c r="L262" s="2">
        <f t="shared" si="18"/>
        <v>0</v>
      </c>
    </row>
    <row r="263" spans="1:12" x14ac:dyDescent="0.25">
      <c r="A263" s="1"/>
      <c r="G263" s="7"/>
      <c r="H263" s="2" t="e">
        <f t="shared" si="17"/>
        <v>#DIV/0!</v>
      </c>
      <c r="I263" s="2">
        <f t="shared" si="19"/>
        <v>108.8</v>
      </c>
      <c r="J263" s="3">
        <f t="shared" si="20"/>
        <v>-1</v>
      </c>
      <c r="K263" s="2">
        <f t="shared" si="21"/>
        <v>0</v>
      </c>
      <c r="L263" s="2">
        <f t="shared" si="18"/>
        <v>0</v>
      </c>
    </row>
    <row r="264" spans="1:12" x14ac:dyDescent="0.25">
      <c r="A264" s="1"/>
      <c r="G264" s="7"/>
      <c r="H264" s="2" t="e">
        <f t="shared" si="17"/>
        <v>#DIV/0!</v>
      </c>
      <c r="I264" s="2" t="e">
        <f t="shared" si="19"/>
        <v>#DIV/0!</v>
      </c>
      <c r="J264" s="3">
        <f t="shared" si="20"/>
        <v>-1</v>
      </c>
      <c r="K264" s="2">
        <f t="shared" si="21"/>
        <v>0</v>
      </c>
      <c r="L264" s="2">
        <f t="shared" si="18"/>
        <v>0</v>
      </c>
    </row>
    <row r="265" spans="1:12" x14ac:dyDescent="0.25">
      <c r="A265" s="1"/>
      <c r="G265" s="7"/>
      <c r="H265" s="2" t="e">
        <f t="shared" si="17"/>
        <v>#DIV/0!</v>
      </c>
      <c r="I265" s="2" t="e">
        <f t="shared" si="19"/>
        <v>#DIV/0!</v>
      </c>
      <c r="J265" s="3">
        <f t="shared" si="20"/>
        <v>-1</v>
      </c>
      <c r="K265" s="2">
        <f t="shared" si="21"/>
        <v>0</v>
      </c>
      <c r="L265" s="2">
        <f t="shared" si="18"/>
        <v>0</v>
      </c>
    </row>
    <row r="266" spans="1:12" x14ac:dyDescent="0.25">
      <c r="A266" s="1"/>
      <c r="G266" s="7"/>
      <c r="H266" s="2" t="e">
        <f t="shared" si="17"/>
        <v>#DIV/0!</v>
      </c>
      <c r="I266" s="2" t="e">
        <f t="shared" si="19"/>
        <v>#DIV/0!</v>
      </c>
      <c r="J266" s="3">
        <f t="shared" si="20"/>
        <v>-1</v>
      </c>
      <c r="K266" s="2">
        <f t="shared" si="21"/>
        <v>0</v>
      </c>
      <c r="L266" s="2">
        <f t="shared" si="18"/>
        <v>0</v>
      </c>
    </row>
    <row r="267" spans="1:12" x14ac:dyDescent="0.25">
      <c r="A267" s="1"/>
      <c r="G267" s="7"/>
      <c r="H267" s="2" t="e">
        <f t="shared" si="17"/>
        <v>#DIV/0!</v>
      </c>
      <c r="I267" s="2" t="e">
        <f t="shared" si="19"/>
        <v>#DIV/0!</v>
      </c>
      <c r="J267" s="3">
        <f t="shared" si="20"/>
        <v>-1</v>
      </c>
      <c r="K267" s="2">
        <f t="shared" si="21"/>
        <v>0</v>
      </c>
      <c r="L267" s="2">
        <f t="shared" si="18"/>
        <v>0</v>
      </c>
    </row>
    <row r="268" spans="1:12" x14ac:dyDescent="0.25">
      <c r="A268" s="1"/>
      <c r="G268" s="7"/>
      <c r="H268" s="2" t="e">
        <f t="shared" si="17"/>
        <v>#DIV/0!</v>
      </c>
      <c r="I268" s="2" t="e">
        <f t="shared" si="19"/>
        <v>#DIV/0!</v>
      </c>
      <c r="J268" s="3">
        <f t="shared" si="20"/>
        <v>-1</v>
      </c>
      <c r="K268" s="2">
        <f t="shared" si="21"/>
        <v>0</v>
      </c>
      <c r="L268" s="2">
        <f t="shared" si="18"/>
        <v>0</v>
      </c>
    </row>
    <row r="269" spans="1:12" x14ac:dyDescent="0.25">
      <c r="A269" s="1"/>
      <c r="G269" s="7"/>
      <c r="H269" s="2" t="e">
        <f t="shared" si="17"/>
        <v>#DIV/0!</v>
      </c>
      <c r="I269" s="2" t="e">
        <f t="shared" si="19"/>
        <v>#DIV/0!</v>
      </c>
      <c r="J269" s="3">
        <f t="shared" si="20"/>
        <v>-1</v>
      </c>
      <c r="K269" s="2">
        <f t="shared" si="21"/>
        <v>0</v>
      </c>
      <c r="L269" s="2">
        <f t="shared" si="18"/>
        <v>0</v>
      </c>
    </row>
    <row r="270" spans="1:12" x14ac:dyDescent="0.25">
      <c r="A270" s="1"/>
      <c r="G270" s="7"/>
      <c r="H270" s="2" t="e">
        <f t="shared" si="17"/>
        <v>#DIV/0!</v>
      </c>
      <c r="I270" s="2" t="e">
        <f t="shared" si="19"/>
        <v>#DIV/0!</v>
      </c>
      <c r="J270" s="3">
        <f t="shared" si="20"/>
        <v>-1</v>
      </c>
      <c r="K270" s="2">
        <f t="shared" si="21"/>
        <v>0</v>
      </c>
      <c r="L270" s="2">
        <f t="shared" si="18"/>
        <v>0</v>
      </c>
    </row>
    <row r="271" spans="1:12" x14ac:dyDescent="0.25">
      <c r="A271" s="1"/>
      <c r="G271" s="7"/>
      <c r="H271" s="2" t="e">
        <f t="shared" si="17"/>
        <v>#DIV/0!</v>
      </c>
      <c r="I271" s="2" t="e">
        <f t="shared" si="19"/>
        <v>#DIV/0!</v>
      </c>
      <c r="J271" s="3">
        <f t="shared" si="20"/>
        <v>-1</v>
      </c>
      <c r="K271" s="2">
        <f t="shared" si="21"/>
        <v>0</v>
      </c>
      <c r="L271" s="2">
        <f t="shared" si="18"/>
        <v>0</v>
      </c>
    </row>
    <row r="272" spans="1:12" x14ac:dyDescent="0.25">
      <c r="A272" s="1"/>
      <c r="G272" s="7"/>
      <c r="H272" s="2" t="e">
        <f t="shared" si="17"/>
        <v>#DIV/0!</v>
      </c>
      <c r="I272" s="2" t="e">
        <f t="shared" si="19"/>
        <v>#DIV/0!</v>
      </c>
      <c r="J272" s="3">
        <f t="shared" si="20"/>
        <v>-1</v>
      </c>
      <c r="K272" s="2">
        <f t="shared" si="21"/>
        <v>0</v>
      </c>
      <c r="L272" s="2">
        <f t="shared" si="18"/>
        <v>0</v>
      </c>
    </row>
    <row r="273" spans="1:12" x14ac:dyDescent="0.25">
      <c r="A273" s="1"/>
      <c r="G273" s="7"/>
      <c r="H273" s="2" t="e">
        <f t="shared" si="17"/>
        <v>#DIV/0!</v>
      </c>
      <c r="I273" s="2" t="e">
        <f t="shared" si="19"/>
        <v>#DIV/0!</v>
      </c>
      <c r="J273" s="3">
        <f t="shared" si="20"/>
        <v>-1</v>
      </c>
      <c r="K273" s="2">
        <f t="shared" si="21"/>
        <v>0</v>
      </c>
      <c r="L273" s="2">
        <f t="shared" si="18"/>
        <v>0</v>
      </c>
    </row>
    <row r="274" spans="1:12" x14ac:dyDescent="0.25">
      <c r="A274" s="1"/>
      <c r="G274" s="7"/>
      <c r="H274" s="2" t="e">
        <f t="shared" si="17"/>
        <v>#DIV/0!</v>
      </c>
      <c r="I274" s="2" t="e">
        <f t="shared" si="19"/>
        <v>#DIV/0!</v>
      </c>
      <c r="J274" s="3">
        <f t="shared" si="20"/>
        <v>-1</v>
      </c>
      <c r="K274" s="2">
        <f t="shared" si="21"/>
        <v>0</v>
      </c>
      <c r="L274" s="2">
        <f t="shared" si="18"/>
        <v>0</v>
      </c>
    </row>
    <row r="275" spans="1:12" x14ac:dyDescent="0.25">
      <c r="A275" s="1"/>
      <c r="G275" s="7"/>
      <c r="H275" s="2" t="e">
        <f t="shared" si="17"/>
        <v>#DIV/0!</v>
      </c>
      <c r="I275" s="2" t="e">
        <f t="shared" si="19"/>
        <v>#DIV/0!</v>
      </c>
      <c r="J275" s="3">
        <f t="shared" si="20"/>
        <v>-1</v>
      </c>
      <c r="K275" s="2">
        <f t="shared" si="21"/>
        <v>0</v>
      </c>
      <c r="L275" s="2">
        <f t="shared" si="18"/>
        <v>0</v>
      </c>
    </row>
    <row r="276" spans="1:12" x14ac:dyDescent="0.25">
      <c r="A276" s="1"/>
      <c r="G276" s="7"/>
      <c r="H276" s="2" t="e">
        <f t="shared" si="17"/>
        <v>#DIV/0!</v>
      </c>
      <c r="I276" s="2" t="e">
        <f t="shared" si="19"/>
        <v>#DIV/0!</v>
      </c>
      <c r="J276" s="3">
        <f t="shared" si="20"/>
        <v>-1</v>
      </c>
      <c r="K276" s="2">
        <f t="shared" si="21"/>
        <v>0</v>
      </c>
      <c r="L276" s="2">
        <f t="shared" si="18"/>
        <v>0</v>
      </c>
    </row>
    <row r="277" spans="1:12" x14ac:dyDescent="0.25">
      <c r="A277" s="1"/>
      <c r="G277" s="7"/>
      <c r="H277" s="2" t="e">
        <f t="shared" si="17"/>
        <v>#DIV/0!</v>
      </c>
      <c r="I277" s="2" t="e">
        <f t="shared" si="19"/>
        <v>#DIV/0!</v>
      </c>
      <c r="J277" s="3">
        <f t="shared" si="20"/>
        <v>-1</v>
      </c>
      <c r="K277" s="2">
        <f t="shared" si="21"/>
        <v>0</v>
      </c>
      <c r="L277" s="2">
        <f t="shared" si="18"/>
        <v>0</v>
      </c>
    </row>
    <row r="278" spans="1:12" x14ac:dyDescent="0.25">
      <c r="A278" s="1"/>
      <c r="G278" s="7"/>
      <c r="H278" s="2" t="e">
        <f t="shared" ref="H278:H341" si="22">AVERAGE(B259:B278)</f>
        <v>#DIV/0!</v>
      </c>
      <c r="I278" s="2" t="e">
        <f t="shared" si="19"/>
        <v>#DIV/0!</v>
      </c>
      <c r="J278" s="3">
        <f t="shared" si="20"/>
        <v>-1</v>
      </c>
      <c r="K278" s="2">
        <f t="shared" si="21"/>
        <v>0</v>
      </c>
      <c r="L278" s="2">
        <f t="shared" ref="L278:L341" si="23">AVERAGE(K259:K278)</f>
        <v>0</v>
      </c>
    </row>
    <row r="279" spans="1:12" x14ac:dyDescent="0.25">
      <c r="A279" s="1"/>
      <c r="G279" s="7"/>
      <c r="H279" s="2" t="e">
        <f t="shared" si="22"/>
        <v>#DIV/0!</v>
      </c>
      <c r="I279" s="2" t="e">
        <f t="shared" si="19"/>
        <v>#DIV/0!</v>
      </c>
      <c r="J279" s="3">
        <f t="shared" si="20"/>
        <v>-1</v>
      </c>
      <c r="K279" s="2">
        <f t="shared" si="21"/>
        <v>0</v>
      </c>
      <c r="L279" s="2">
        <f t="shared" si="23"/>
        <v>0</v>
      </c>
    </row>
    <row r="280" spans="1:12" x14ac:dyDescent="0.25">
      <c r="A280" s="1"/>
      <c r="G280" s="7"/>
      <c r="H280" s="2" t="e">
        <f t="shared" si="22"/>
        <v>#DIV/0!</v>
      </c>
      <c r="I280" s="2" t="e">
        <f t="shared" si="19"/>
        <v>#DIV/0!</v>
      </c>
      <c r="J280" s="3">
        <f t="shared" si="20"/>
        <v>-1</v>
      </c>
      <c r="K280" s="2">
        <f t="shared" si="21"/>
        <v>0</v>
      </c>
      <c r="L280" s="2">
        <f t="shared" si="23"/>
        <v>0</v>
      </c>
    </row>
    <row r="281" spans="1:12" x14ac:dyDescent="0.25">
      <c r="A281" s="1"/>
      <c r="G281" s="7"/>
      <c r="H281" s="2" t="e">
        <f t="shared" si="22"/>
        <v>#DIV/0!</v>
      </c>
      <c r="I281" s="2" t="e">
        <f t="shared" si="19"/>
        <v>#DIV/0!</v>
      </c>
      <c r="J281" s="3">
        <f t="shared" si="20"/>
        <v>-1</v>
      </c>
      <c r="K281" s="2">
        <f t="shared" si="21"/>
        <v>0</v>
      </c>
      <c r="L281" s="2">
        <f t="shared" si="23"/>
        <v>0</v>
      </c>
    </row>
    <row r="282" spans="1:12" x14ac:dyDescent="0.25">
      <c r="A282" s="1"/>
      <c r="G282" s="7"/>
      <c r="H282" s="2" t="e">
        <f t="shared" si="22"/>
        <v>#DIV/0!</v>
      </c>
      <c r="I282" s="2" t="e">
        <f t="shared" si="19"/>
        <v>#DIV/0!</v>
      </c>
      <c r="J282" s="3">
        <f t="shared" si="20"/>
        <v>-1</v>
      </c>
      <c r="K282" s="2">
        <f t="shared" si="21"/>
        <v>0</v>
      </c>
      <c r="L282" s="2">
        <f t="shared" si="23"/>
        <v>0</v>
      </c>
    </row>
    <row r="283" spans="1:12" x14ac:dyDescent="0.25">
      <c r="A283" s="1"/>
      <c r="G283" s="7"/>
      <c r="H283" s="2" t="e">
        <f t="shared" si="22"/>
        <v>#DIV/0!</v>
      </c>
      <c r="I283" s="2" t="e">
        <f t="shared" si="19"/>
        <v>#DIV/0!</v>
      </c>
      <c r="J283" s="3">
        <f t="shared" si="20"/>
        <v>-1</v>
      </c>
      <c r="K283" s="2">
        <f t="shared" si="21"/>
        <v>0</v>
      </c>
      <c r="L283" s="2">
        <f t="shared" si="23"/>
        <v>0</v>
      </c>
    </row>
    <row r="284" spans="1:12" x14ac:dyDescent="0.25">
      <c r="A284" s="1"/>
      <c r="G284" s="7"/>
      <c r="H284" s="2" t="e">
        <f t="shared" si="22"/>
        <v>#DIV/0!</v>
      </c>
      <c r="I284" s="2" t="e">
        <f t="shared" si="19"/>
        <v>#DIV/0!</v>
      </c>
      <c r="J284" s="3">
        <f t="shared" si="20"/>
        <v>-1</v>
      </c>
      <c r="K284" s="2">
        <f t="shared" si="21"/>
        <v>0</v>
      </c>
      <c r="L284" s="2">
        <f t="shared" si="23"/>
        <v>0</v>
      </c>
    </row>
    <row r="285" spans="1:12" x14ac:dyDescent="0.25">
      <c r="A285" s="1"/>
      <c r="G285" s="7"/>
      <c r="H285" s="2" t="e">
        <f t="shared" si="22"/>
        <v>#DIV/0!</v>
      </c>
      <c r="I285" s="2" t="e">
        <f t="shared" si="19"/>
        <v>#DIV/0!</v>
      </c>
      <c r="J285" s="3">
        <f t="shared" si="20"/>
        <v>-1</v>
      </c>
      <c r="K285" s="2">
        <f t="shared" si="21"/>
        <v>0</v>
      </c>
      <c r="L285" s="2">
        <f t="shared" si="23"/>
        <v>0</v>
      </c>
    </row>
    <row r="286" spans="1:12" x14ac:dyDescent="0.25">
      <c r="A286" s="1"/>
      <c r="G286" s="7"/>
      <c r="H286" s="2" t="e">
        <f t="shared" si="22"/>
        <v>#DIV/0!</v>
      </c>
      <c r="I286" s="2" t="e">
        <f t="shared" si="19"/>
        <v>#DIV/0!</v>
      </c>
      <c r="J286" s="3">
        <f t="shared" si="20"/>
        <v>-1</v>
      </c>
      <c r="K286" s="2">
        <f t="shared" si="21"/>
        <v>0</v>
      </c>
      <c r="L286" s="2">
        <f t="shared" si="23"/>
        <v>0</v>
      </c>
    </row>
    <row r="287" spans="1:12" x14ac:dyDescent="0.25">
      <c r="A287" s="1"/>
      <c r="G287" s="7"/>
      <c r="H287" s="2" t="e">
        <f t="shared" si="22"/>
        <v>#DIV/0!</v>
      </c>
      <c r="I287" s="2" t="e">
        <f t="shared" si="19"/>
        <v>#DIV/0!</v>
      </c>
      <c r="J287" s="3">
        <f t="shared" si="20"/>
        <v>-1</v>
      </c>
      <c r="K287" s="2">
        <f t="shared" si="21"/>
        <v>0</v>
      </c>
      <c r="L287" s="2">
        <f t="shared" si="23"/>
        <v>0</v>
      </c>
    </row>
    <row r="288" spans="1:12" x14ac:dyDescent="0.25">
      <c r="A288" s="1"/>
      <c r="G288" s="7"/>
      <c r="H288" s="2" t="e">
        <f t="shared" si="22"/>
        <v>#DIV/0!</v>
      </c>
      <c r="I288" s="2" t="e">
        <f t="shared" si="19"/>
        <v>#DIV/0!</v>
      </c>
      <c r="J288" s="3">
        <f t="shared" si="20"/>
        <v>-1</v>
      </c>
      <c r="K288" s="2">
        <f t="shared" si="21"/>
        <v>0</v>
      </c>
      <c r="L288" s="2">
        <f t="shared" si="23"/>
        <v>0</v>
      </c>
    </row>
    <row r="289" spans="1:12" x14ac:dyDescent="0.25">
      <c r="A289" s="1"/>
      <c r="G289" s="7"/>
      <c r="H289" s="2" t="e">
        <f t="shared" si="22"/>
        <v>#DIV/0!</v>
      </c>
      <c r="I289" s="2" t="e">
        <f t="shared" si="19"/>
        <v>#DIV/0!</v>
      </c>
      <c r="J289" s="3">
        <f t="shared" si="20"/>
        <v>-1</v>
      </c>
      <c r="K289" s="2">
        <f t="shared" si="21"/>
        <v>0</v>
      </c>
      <c r="L289" s="2">
        <f t="shared" si="23"/>
        <v>0</v>
      </c>
    </row>
    <row r="290" spans="1:12" x14ac:dyDescent="0.25">
      <c r="A290" s="1"/>
      <c r="G290" s="7"/>
      <c r="H290" s="2" t="e">
        <f t="shared" si="22"/>
        <v>#DIV/0!</v>
      </c>
      <c r="I290" s="2" t="e">
        <f t="shared" si="19"/>
        <v>#DIV/0!</v>
      </c>
      <c r="J290" s="3">
        <f t="shared" si="20"/>
        <v>-1</v>
      </c>
      <c r="K290" s="2">
        <f t="shared" si="21"/>
        <v>0</v>
      </c>
      <c r="L290" s="2">
        <f t="shared" si="23"/>
        <v>0</v>
      </c>
    </row>
    <row r="291" spans="1:12" x14ac:dyDescent="0.25">
      <c r="A291" s="1"/>
      <c r="G291" s="7"/>
      <c r="H291" s="2" t="e">
        <f t="shared" si="22"/>
        <v>#DIV/0!</v>
      </c>
      <c r="I291" s="2" t="e">
        <f t="shared" si="19"/>
        <v>#DIV/0!</v>
      </c>
      <c r="J291" s="3">
        <f t="shared" si="20"/>
        <v>-1</v>
      </c>
      <c r="K291" s="2">
        <f t="shared" si="21"/>
        <v>0</v>
      </c>
      <c r="L291" s="2">
        <f t="shared" si="23"/>
        <v>0</v>
      </c>
    </row>
    <row r="292" spans="1:12" x14ac:dyDescent="0.25">
      <c r="A292" s="1"/>
      <c r="G292" s="7"/>
      <c r="H292" s="2" t="e">
        <f t="shared" si="22"/>
        <v>#DIV/0!</v>
      </c>
      <c r="I292" s="2" t="e">
        <f t="shared" si="19"/>
        <v>#DIV/0!</v>
      </c>
      <c r="J292" s="3">
        <f t="shared" si="20"/>
        <v>-1</v>
      </c>
      <c r="K292" s="2">
        <f t="shared" si="21"/>
        <v>0</v>
      </c>
      <c r="L292" s="2">
        <f t="shared" si="23"/>
        <v>0</v>
      </c>
    </row>
    <row r="293" spans="1:12" x14ac:dyDescent="0.25">
      <c r="A293" s="1"/>
      <c r="G293" s="7"/>
      <c r="H293" s="2" t="e">
        <f t="shared" si="22"/>
        <v>#DIV/0!</v>
      </c>
      <c r="I293" s="2" t="e">
        <f t="shared" si="19"/>
        <v>#DIV/0!</v>
      </c>
      <c r="J293" s="3">
        <f t="shared" si="20"/>
        <v>-1</v>
      </c>
      <c r="K293" s="2">
        <f t="shared" si="21"/>
        <v>0</v>
      </c>
      <c r="L293" s="2">
        <f t="shared" si="23"/>
        <v>0</v>
      </c>
    </row>
    <row r="294" spans="1:12" x14ac:dyDescent="0.25">
      <c r="A294" s="1"/>
      <c r="G294" s="7"/>
      <c r="H294" s="2" t="e">
        <f t="shared" si="22"/>
        <v>#DIV/0!</v>
      </c>
      <c r="I294" s="2" t="e">
        <f t="shared" si="19"/>
        <v>#DIV/0!</v>
      </c>
      <c r="J294" s="3">
        <f t="shared" si="20"/>
        <v>-1</v>
      </c>
      <c r="K294" s="2">
        <f t="shared" si="21"/>
        <v>0</v>
      </c>
      <c r="L294" s="2">
        <f t="shared" si="23"/>
        <v>0</v>
      </c>
    </row>
    <row r="295" spans="1:12" x14ac:dyDescent="0.25">
      <c r="A295" s="1"/>
      <c r="G295" s="7"/>
      <c r="H295" s="2" t="e">
        <f t="shared" si="22"/>
        <v>#DIV/0!</v>
      </c>
      <c r="I295" s="2" t="e">
        <f t="shared" si="19"/>
        <v>#DIV/0!</v>
      </c>
      <c r="J295" s="3">
        <f t="shared" si="20"/>
        <v>-1</v>
      </c>
      <c r="K295" s="2">
        <f t="shared" si="21"/>
        <v>0</v>
      </c>
      <c r="L295" s="2">
        <f t="shared" si="23"/>
        <v>0</v>
      </c>
    </row>
    <row r="296" spans="1:12" x14ac:dyDescent="0.25">
      <c r="A296" s="1"/>
      <c r="G296" s="7"/>
      <c r="H296" s="2" t="e">
        <f t="shared" si="22"/>
        <v>#DIV/0!</v>
      </c>
      <c r="I296" s="2" t="e">
        <f t="shared" si="19"/>
        <v>#DIV/0!</v>
      </c>
      <c r="J296" s="3">
        <f t="shared" si="20"/>
        <v>-1</v>
      </c>
      <c r="K296" s="2">
        <f t="shared" si="21"/>
        <v>0</v>
      </c>
      <c r="L296" s="2">
        <f t="shared" si="23"/>
        <v>0</v>
      </c>
    </row>
    <row r="297" spans="1:12" x14ac:dyDescent="0.25">
      <c r="A297" s="1"/>
      <c r="G297" s="7"/>
      <c r="H297" s="2" t="e">
        <f t="shared" si="22"/>
        <v>#DIV/0!</v>
      </c>
      <c r="I297" s="2" t="e">
        <f t="shared" si="19"/>
        <v>#DIV/0!</v>
      </c>
      <c r="J297" s="3">
        <f t="shared" si="20"/>
        <v>-1</v>
      </c>
      <c r="K297" s="2">
        <f t="shared" si="21"/>
        <v>0</v>
      </c>
      <c r="L297" s="2">
        <f t="shared" si="23"/>
        <v>0</v>
      </c>
    </row>
    <row r="298" spans="1:12" x14ac:dyDescent="0.25">
      <c r="A298" s="1"/>
      <c r="G298" s="7"/>
      <c r="H298" s="2" t="e">
        <f t="shared" si="22"/>
        <v>#DIV/0!</v>
      </c>
      <c r="I298" s="2" t="e">
        <f t="shared" si="19"/>
        <v>#DIV/0!</v>
      </c>
      <c r="J298" s="3">
        <f t="shared" si="20"/>
        <v>-1</v>
      </c>
      <c r="K298" s="2">
        <f t="shared" si="21"/>
        <v>0</v>
      </c>
      <c r="L298" s="2">
        <f t="shared" si="23"/>
        <v>0</v>
      </c>
    </row>
    <row r="299" spans="1:12" x14ac:dyDescent="0.25">
      <c r="A299" s="1"/>
      <c r="G299" s="7"/>
      <c r="H299" s="2" t="e">
        <f t="shared" si="22"/>
        <v>#DIV/0!</v>
      </c>
      <c r="I299" s="2" t="e">
        <f t="shared" si="19"/>
        <v>#DIV/0!</v>
      </c>
      <c r="J299" s="3">
        <f t="shared" si="20"/>
        <v>-1</v>
      </c>
      <c r="K299" s="2">
        <f t="shared" si="21"/>
        <v>0</v>
      </c>
      <c r="L299" s="2">
        <f t="shared" si="23"/>
        <v>0</v>
      </c>
    </row>
    <row r="300" spans="1:12" x14ac:dyDescent="0.25">
      <c r="A300" s="1"/>
      <c r="G300" s="7"/>
      <c r="H300" s="2" t="e">
        <f t="shared" si="22"/>
        <v>#DIV/0!</v>
      </c>
      <c r="I300" s="2" t="e">
        <f t="shared" si="19"/>
        <v>#DIV/0!</v>
      </c>
      <c r="J300" s="3">
        <f t="shared" si="20"/>
        <v>-1</v>
      </c>
      <c r="K300" s="2">
        <f t="shared" si="21"/>
        <v>0</v>
      </c>
      <c r="L300" s="2">
        <f t="shared" si="23"/>
        <v>0</v>
      </c>
    </row>
    <row r="301" spans="1:12" x14ac:dyDescent="0.25">
      <c r="A301" s="1"/>
      <c r="G301" s="7"/>
      <c r="H301" s="2" t="e">
        <f t="shared" si="22"/>
        <v>#DIV/0!</v>
      </c>
      <c r="I301" s="2" t="e">
        <f t="shared" si="19"/>
        <v>#DIV/0!</v>
      </c>
      <c r="J301" s="3">
        <f t="shared" si="20"/>
        <v>-1</v>
      </c>
      <c r="K301" s="2">
        <f t="shared" si="21"/>
        <v>0</v>
      </c>
      <c r="L301" s="2">
        <f t="shared" si="23"/>
        <v>0</v>
      </c>
    </row>
    <row r="302" spans="1:12" x14ac:dyDescent="0.25">
      <c r="A302" s="1"/>
      <c r="G302" s="7"/>
      <c r="H302" s="2" t="e">
        <f t="shared" si="22"/>
        <v>#DIV/0!</v>
      </c>
      <c r="I302" s="2" t="e">
        <f t="shared" si="19"/>
        <v>#DIV/0!</v>
      </c>
      <c r="J302" s="3">
        <f t="shared" si="20"/>
        <v>-1</v>
      </c>
      <c r="K302" s="2">
        <f t="shared" si="21"/>
        <v>0</v>
      </c>
      <c r="L302" s="2">
        <f t="shared" si="23"/>
        <v>0</v>
      </c>
    </row>
    <row r="303" spans="1:12" x14ac:dyDescent="0.25">
      <c r="A303" s="1"/>
      <c r="G303" s="7"/>
      <c r="H303" s="2" t="e">
        <f t="shared" si="22"/>
        <v>#DIV/0!</v>
      </c>
      <c r="I303" s="2" t="e">
        <f t="shared" si="19"/>
        <v>#DIV/0!</v>
      </c>
      <c r="J303" s="3">
        <f t="shared" si="20"/>
        <v>-1</v>
      </c>
      <c r="K303" s="2">
        <f t="shared" si="21"/>
        <v>0</v>
      </c>
      <c r="L303" s="2">
        <f t="shared" si="23"/>
        <v>0</v>
      </c>
    </row>
    <row r="304" spans="1:12" x14ac:dyDescent="0.25">
      <c r="A304" s="1"/>
      <c r="G304" s="7"/>
      <c r="H304" s="2" t="e">
        <f t="shared" si="22"/>
        <v>#DIV/0!</v>
      </c>
      <c r="I304" s="2" t="e">
        <f t="shared" si="19"/>
        <v>#DIV/0!</v>
      </c>
      <c r="J304" s="3">
        <f t="shared" si="20"/>
        <v>-1</v>
      </c>
      <c r="K304" s="2">
        <f t="shared" si="21"/>
        <v>0</v>
      </c>
      <c r="L304" s="2">
        <f t="shared" si="23"/>
        <v>0</v>
      </c>
    </row>
    <row r="305" spans="1:12" x14ac:dyDescent="0.25">
      <c r="A305" s="1"/>
      <c r="G305" s="7"/>
      <c r="H305" s="2" t="e">
        <f t="shared" si="22"/>
        <v>#DIV/0!</v>
      </c>
      <c r="I305" s="2" t="e">
        <f t="shared" si="19"/>
        <v>#DIV/0!</v>
      </c>
      <c r="J305" s="3">
        <f t="shared" si="20"/>
        <v>-1</v>
      </c>
      <c r="K305" s="2">
        <f t="shared" si="21"/>
        <v>0</v>
      </c>
      <c r="L305" s="2">
        <f t="shared" si="23"/>
        <v>0</v>
      </c>
    </row>
    <row r="306" spans="1:12" x14ac:dyDescent="0.25">
      <c r="A306" s="1"/>
      <c r="G306" s="7"/>
      <c r="H306" s="2" t="e">
        <f t="shared" si="22"/>
        <v>#DIV/0!</v>
      </c>
      <c r="I306" s="2" t="e">
        <f t="shared" si="19"/>
        <v>#DIV/0!</v>
      </c>
      <c r="J306" s="3">
        <f t="shared" si="20"/>
        <v>-1</v>
      </c>
      <c r="K306" s="2">
        <f t="shared" si="21"/>
        <v>0</v>
      </c>
      <c r="L306" s="2">
        <f t="shared" si="23"/>
        <v>0</v>
      </c>
    </row>
    <row r="307" spans="1:12" x14ac:dyDescent="0.25">
      <c r="A307" s="1"/>
      <c r="G307" s="7"/>
      <c r="H307" s="2" t="e">
        <f t="shared" si="22"/>
        <v>#DIV/0!</v>
      </c>
      <c r="I307" s="2" t="e">
        <f t="shared" si="19"/>
        <v>#DIV/0!</v>
      </c>
      <c r="J307" s="3">
        <f t="shared" si="20"/>
        <v>-1</v>
      </c>
      <c r="K307" s="2">
        <f t="shared" si="21"/>
        <v>0</v>
      </c>
      <c r="L307" s="2">
        <f t="shared" si="23"/>
        <v>0</v>
      </c>
    </row>
    <row r="308" spans="1:12" x14ac:dyDescent="0.25">
      <c r="A308" s="1"/>
      <c r="G308" s="7"/>
      <c r="H308" s="2" t="e">
        <f t="shared" si="22"/>
        <v>#DIV/0!</v>
      </c>
      <c r="I308" s="2" t="e">
        <f t="shared" ref="I308:I371" si="24">AVERAGE(B259:B308)</f>
        <v>#DIV/0!</v>
      </c>
      <c r="J308" s="3">
        <f t="shared" si="20"/>
        <v>-1</v>
      </c>
      <c r="K308" s="2">
        <f t="shared" si="21"/>
        <v>0</v>
      </c>
      <c r="L308" s="2">
        <f t="shared" si="23"/>
        <v>0</v>
      </c>
    </row>
    <row r="309" spans="1:12" x14ac:dyDescent="0.25">
      <c r="A309" s="1"/>
      <c r="G309" s="7"/>
      <c r="H309" s="2" t="e">
        <f t="shared" si="22"/>
        <v>#DIV/0!</v>
      </c>
      <c r="I309" s="2" t="e">
        <f t="shared" si="24"/>
        <v>#DIV/0!</v>
      </c>
      <c r="J309" s="3">
        <f t="shared" si="20"/>
        <v>-1</v>
      </c>
      <c r="K309" s="2">
        <f t="shared" si="21"/>
        <v>0</v>
      </c>
      <c r="L309" s="2">
        <f t="shared" si="23"/>
        <v>0</v>
      </c>
    </row>
    <row r="310" spans="1:12" x14ac:dyDescent="0.25">
      <c r="A310" s="1"/>
      <c r="G310" s="7"/>
      <c r="H310" s="2" t="e">
        <f t="shared" si="22"/>
        <v>#DIV/0!</v>
      </c>
      <c r="I310" s="2" t="e">
        <f t="shared" si="24"/>
        <v>#DIV/0!</v>
      </c>
      <c r="J310" s="3">
        <f t="shared" si="20"/>
        <v>-1</v>
      </c>
      <c r="K310" s="2">
        <f t="shared" si="21"/>
        <v>0</v>
      </c>
      <c r="L310" s="2">
        <f t="shared" si="23"/>
        <v>0</v>
      </c>
    </row>
    <row r="311" spans="1:12" x14ac:dyDescent="0.25">
      <c r="A311" s="1"/>
      <c r="G311" s="7"/>
      <c r="H311" s="2" t="e">
        <f t="shared" si="22"/>
        <v>#DIV/0!</v>
      </c>
      <c r="I311" s="2" t="e">
        <f t="shared" si="24"/>
        <v>#DIV/0!</v>
      </c>
      <c r="J311" s="3">
        <f t="shared" si="20"/>
        <v>-1</v>
      </c>
      <c r="K311" s="2">
        <f t="shared" si="21"/>
        <v>0</v>
      </c>
      <c r="L311" s="2">
        <f t="shared" si="23"/>
        <v>0</v>
      </c>
    </row>
    <row r="312" spans="1:12" x14ac:dyDescent="0.25">
      <c r="A312" s="1"/>
      <c r="G312" s="7"/>
      <c r="H312" s="2" t="e">
        <f t="shared" si="22"/>
        <v>#DIV/0!</v>
      </c>
      <c r="I312" s="2" t="e">
        <f t="shared" si="24"/>
        <v>#DIV/0!</v>
      </c>
      <c r="J312" s="3">
        <f t="shared" si="20"/>
        <v>-1</v>
      </c>
      <c r="K312" s="2">
        <f t="shared" si="21"/>
        <v>0</v>
      </c>
      <c r="L312" s="2">
        <f t="shared" si="23"/>
        <v>0</v>
      </c>
    </row>
    <row r="313" spans="1:12" x14ac:dyDescent="0.25">
      <c r="A313" s="1"/>
      <c r="G313" s="7"/>
      <c r="H313" s="2" t="e">
        <f t="shared" si="22"/>
        <v>#DIV/0!</v>
      </c>
      <c r="I313" s="2" t="e">
        <f t="shared" si="24"/>
        <v>#DIV/0!</v>
      </c>
      <c r="J313" s="3">
        <f t="shared" si="20"/>
        <v>-1</v>
      </c>
      <c r="K313" s="2">
        <f t="shared" si="21"/>
        <v>0</v>
      </c>
      <c r="L313" s="2">
        <f t="shared" si="23"/>
        <v>0</v>
      </c>
    </row>
    <row r="314" spans="1:12" x14ac:dyDescent="0.25">
      <c r="A314" s="1"/>
      <c r="G314" s="7"/>
      <c r="H314" s="2" t="e">
        <f t="shared" si="22"/>
        <v>#DIV/0!</v>
      </c>
      <c r="I314" s="2" t="e">
        <f t="shared" si="24"/>
        <v>#DIV/0!</v>
      </c>
      <c r="J314" s="3">
        <f t="shared" si="20"/>
        <v>-1</v>
      </c>
      <c r="K314" s="2">
        <f t="shared" si="21"/>
        <v>0</v>
      </c>
      <c r="L314" s="2">
        <f t="shared" si="23"/>
        <v>0</v>
      </c>
    </row>
    <row r="315" spans="1:12" x14ac:dyDescent="0.25">
      <c r="A315" s="1"/>
      <c r="G315" s="7"/>
      <c r="H315" s="2" t="e">
        <f t="shared" si="22"/>
        <v>#DIV/0!</v>
      </c>
      <c r="I315" s="2" t="e">
        <f t="shared" si="24"/>
        <v>#DIV/0!</v>
      </c>
      <c r="J315" s="3">
        <f t="shared" si="20"/>
        <v>-1</v>
      </c>
      <c r="K315" s="2">
        <f t="shared" si="21"/>
        <v>0</v>
      </c>
      <c r="L315" s="2">
        <f t="shared" si="23"/>
        <v>0</v>
      </c>
    </row>
    <row r="316" spans="1:12" x14ac:dyDescent="0.25">
      <c r="A316" s="1"/>
      <c r="G316" s="7"/>
      <c r="H316" s="2" t="e">
        <f t="shared" si="22"/>
        <v>#DIV/0!</v>
      </c>
      <c r="I316" s="2" t="e">
        <f t="shared" si="24"/>
        <v>#DIV/0!</v>
      </c>
      <c r="J316" s="3">
        <f t="shared" si="20"/>
        <v>-1</v>
      </c>
      <c r="K316" s="2">
        <f t="shared" si="21"/>
        <v>0</v>
      </c>
      <c r="L316" s="2">
        <f t="shared" si="23"/>
        <v>0</v>
      </c>
    </row>
    <row r="317" spans="1:12" x14ac:dyDescent="0.25">
      <c r="A317" s="1"/>
      <c r="G317" s="7"/>
      <c r="H317" s="2" t="e">
        <f t="shared" si="22"/>
        <v>#DIV/0!</v>
      </c>
      <c r="I317" s="2" t="e">
        <f t="shared" si="24"/>
        <v>#DIV/0!</v>
      </c>
      <c r="J317" s="3">
        <f t="shared" si="20"/>
        <v>-1</v>
      </c>
      <c r="K317" s="2">
        <f t="shared" si="21"/>
        <v>0</v>
      </c>
      <c r="L317" s="2">
        <f t="shared" si="23"/>
        <v>0</v>
      </c>
    </row>
    <row r="318" spans="1:12" x14ac:dyDescent="0.25">
      <c r="A318" s="1"/>
      <c r="G318" s="7"/>
      <c r="H318" s="2" t="e">
        <f t="shared" si="22"/>
        <v>#DIV/0!</v>
      </c>
      <c r="I318" s="2" t="e">
        <f t="shared" si="24"/>
        <v>#DIV/0!</v>
      </c>
      <c r="J318" s="3">
        <f t="shared" si="20"/>
        <v>-1</v>
      </c>
      <c r="K318" s="2">
        <f t="shared" si="21"/>
        <v>0</v>
      </c>
      <c r="L318" s="2">
        <f t="shared" si="23"/>
        <v>0</v>
      </c>
    </row>
    <row r="319" spans="1:12" x14ac:dyDescent="0.25">
      <c r="A319" s="1"/>
      <c r="G319" s="7"/>
      <c r="H319" s="2" t="e">
        <f t="shared" si="22"/>
        <v>#DIV/0!</v>
      </c>
      <c r="I319" s="2" t="e">
        <f t="shared" si="24"/>
        <v>#DIV/0!</v>
      </c>
      <c r="J319" s="3">
        <f t="shared" si="20"/>
        <v>-1</v>
      </c>
      <c r="K319" s="2">
        <f t="shared" si="21"/>
        <v>0</v>
      </c>
      <c r="L319" s="2">
        <f t="shared" si="23"/>
        <v>0</v>
      </c>
    </row>
    <row r="320" spans="1:12" x14ac:dyDescent="0.25">
      <c r="A320" s="1"/>
      <c r="G320" s="7"/>
      <c r="H320" s="2" t="e">
        <f t="shared" si="22"/>
        <v>#DIV/0!</v>
      </c>
      <c r="I320" s="2" t="e">
        <f t="shared" si="24"/>
        <v>#DIV/0!</v>
      </c>
      <c r="J320" s="3">
        <f t="shared" si="20"/>
        <v>-1</v>
      </c>
      <c r="K320" s="2">
        <f t="shared" si="21"/>
        <v>0</v>
      </c>
      <c r="L320" s="2">
        <f t="shared" si="23"/>
        <v>0</v>
      </c>
    </row>
    <row r="321" spans="1:12" x14ac:dyDescent="0.25">
      <c r="A321" s="1"/>
      <c r="G321" s="7"/>
      <c r="H321" s="2" t="e">
        <f t="shared" si="22"/>
        <v>#DIV/0!</v>
      </c>
      <c r="I321" s="2" t="e">
        <f t="shared" si="24"/>
        <v>#DIV/0!</v>
      </c>
      <c r="J321" s="3">
        <f t="shared" si="20"/>
        <v>-1</v>
      </c>
      <c r="K321" s="2">
        <f t="shared" si="21"/>
        <v>0</v>
      </c>
      <c r="L321" s="2">
        <f t="shared" si="23"/>
        <v>0</v>
      </c>
    </row>
    <row r="322" spans="1:12" x14ac:dyDescent="0.25">
      <c r="A322" s="1"/>
      <c r="G322" s="7"/>
      <c r="H322" s="2" t="e">
        <f t="shared" si="22"/>
        <v>#DIV/0!</v>
      </c>
      <c r="I322" s="2" t="e">
        <f t="shared" si="24"/>
        <v>#DIV/0!</v>
      </c>
      <c r="J322" s="3">
        <f t="shared" si="20"/>
        <v>-1</v>
      </c>
      <c r="K322" s="2">
        <f t="shared" si="21"/>
        <v>0</v>
      </c>
      <c r="L322" s="2">
        <f t="shared" si="23"/>
        <v>0</v>
      </c>
    </row>
    <row r="323" spans="1:12" x14ac:dyDescent="0.25">
      <c r="A323" s="1"/>
      <c r="G323" s="7"/>
      <c r="H323" s="2" t="e">
        <f t="shared" si="22"/>
        <v>#DIV/0!</v>
      </c>
      <c r="I323" s="2" t="e">
        <f t="shared" si="24"/>
        <v>#DIV/0!</v>
      </c>
      <c r="J323" s="3">
        <f t="shared" ref="J323:J386" si="25">(B323/$B$2)-1</f>
        <v>-1</v>
      </c>
      <c r="K323" s="2">
        <f t="shared" ref="K323:K386" si="26">D323-E323</f>
        <v>0</v>
      </c>
      <c r="L323" s="2">
        <f t="shared" si="23"/>
        <v>0</v>
      </c>
    </row>
    <row r="324" spans="1:12" x14ac:dyDescent="0.25">
      <c r="A324" s="1"/>
      <c r="G324" s="7"/>
      <c r="H324" s="2" t="e">
        <f t="shared" si="22"/>
        <v>#DIV/0!</v>
      </c>
      <c r="I324" s="2" t="e">
        <f t="shared" si="24"/>
        <v>#DIV/0!</v>
      </c>
      <c r="J324" s="3">
        <f t="shared" si="25"/>
        <v>-1</v>
      </c>
      <c r="K324" s="2">
        <f t="shared" si="26"/>
        <v>0</v>
      </c>
      <c r="L324" s="2">
        <f t="shared" si="23"/>
        <v>0</v>
      </c>
    </row>
    <row r="325" spans="1:12" x14ac:dyDescent="0.25">
      <c r="A325" s="1"/>
      <c r="G325" s="7"/>
      <c r="H325" s="2" t="e">
        <f t="shared" si="22"/>
        <v>#DIV/0!</v>
      </c>
      <c r="I325" s="2" t="e">
        <f t="shared" si="24"/>
        <v>#DIV/0!</v>
      </c>
      <c r="J325" s="3">
        <f t="shared" si="25"/>
        <v>-1</v>
      </c>
      <c r="K325" s="2">
        <f t="shared" si="26"/>
        <v>0</v>
      </c>
      <c r="L325" s="2">
        <f t="shared" si="23"/>
        <v>0</v>
      </c>
    </row>
    <row r="326" spans="1:12" x14ac:dyDescent="0.25">
      <c r="A326" s="1"/>
      <c r="G326" s="7"/>
      <c r="H326" s="2" t="e">
        <f t="shared" si="22"/>
        <v>#DIV/0!</v>
      </c>
      <c r="I326" s="2" t="e">
        <f t="shared" si="24"/>
        <v>#DIV/0!</v>
      </c>
      <c r="J326" s="3">
        <f t="shared" si="25"/>
        <v>-1</v>
      </c>
      <c r="K326" s="2">
        <f t="shared" si="26"/>
        <v>0</v>
      </c>
      <c r="L326" s="2">
        <f t="shared" si="23"/>
        <v>0</v>
      </c>
    </row>
    <row r="327" spans="1:12" x14ac:dyDescent="0.25">
      <c r="A327" s="1"/>
      <c r="G327" s="7"/>
      <c r="H327" s="2" t="e">
        <f t="shared" si="22"/>
        <v>#DIV/0!</v>
      </c>
      <c r="I327" s="2" t="e">
        <f t="shared" si="24"/>
        <v>#DIV/0!</v>
      </c>
      <c r="J327" s="3">
        <f t="shared" si="25"/>
        <v>-1</v>
      </c>
      <c r="K327" s="2">
        <f t="shared" si="26"/>
        <v>0</v>
      </c>
      <c r="L327" s="2">
        <f t="shared" si="23"/>
        <v>0</v>
      </c>
    </row>
    <row r="328" spans="1:12" x14ac:dyDescent="0.25">
      <c r="A328" s="1"/>
      <c r="G328" s="7"/>
      <c r="H328" s="2" t="e">
        <f t="shared" si="22"/>
        <v>#DIV/0!</v>
      </c>
      <c r="I328" s="2" t="e">
        <f t="shared" si="24"/>
        <v>#DIV/0!</v>
      </c>
      <c r="J328" s="3">
        <f t="shared" si="25"/>
        <v>-1</v>
      </c>
      <c r="K328" s="2">
        <f t="shared" si="26"/>
        <v>0</v>
      </c>
      <c r="L328" s="2">
        <f t="shared" si="23"/>
        <v>0</v>
      </c>
    </row>
    <row r="329" spans="1:12" x14ac:dyDescent="0.25">
      <c r="A329" s="1"/>
      <c r="G329" s="7"/>
      <c r="H329" s="2" t="e">
        <f t="shared" si="22"/>
        <v>#DIV/0!</v>
      </c>
      <c r="I329" s="2" t="e">
        <f t="shared" si="24"/>
        <v>#DIV/0!</v>
      </c>
      <c r="J329" s="3">
        <f t="shared" si="25"/>
        <v>-1</v>
      </c>
      <c r="K329" s="2">
        <f t="shared" si="26"/>
        <v>0</v>
      </c>
      <c r="L329" s="2">
        <f t="shared" si="23"/>
        <v>0</v>
      </c>
    </row>
    <row r="330" spans="1:12" x14ac:dyDescent="0.25">
      <c r="A330" s="1"/>
      <c r="G330" s="7"/>
      <c r="H330" s="2" t="e">
        <f t="shared" si="22"/>
        <v>#DIV/0!</v>
      </c>
      <c r="I330" s="2" t="e">
        <f t="shared" si="24"/>
        <v>#DIV/0!</v>
      </c>
      <c r="J330" s="3">
        <f t="shared" si="25"/>
        <v>-1</v>
      </c>
      <c r="K330" s="2">
        <f t="shared" si="26"/>
        <v>0</v>
      </c>
      <c r="L330" s="2">
        <f t="shared" si="23"/>
        <v>0</v>
      </c>
    </row>
    <row r="331" spans="1:12" x14ac:dyDescent="0.25">
      <c r="A331" s="1"/>
      <c r="G331" s="7"/>
      <c r="H331" s="2" t="e">
        <f t="shared" si="22"/>
        <v>#DIV/0!</v>
      </c>
      <c r="I331" s="2" t="e">
        <f t="shared" si="24"/>
        <v>#DIV/0!</v>
      </c>
      <c r="J331" s="3">
        <f t="shared" si="25"/>
        <v>-1</v>
      </c>
      <c r="K331" s="2">
        <f t="shared" si="26"/>
        <v>0</v>
      </c>
      <c r="L331" s="2">
        <f t="shared" si="23"/>
        <v>0</v>
      </c>
    </row>
    <row r="332" spans="1:12" x14ac:dyDescent="0.25">
      <c r="A332" s="1"/>
      <c r="G332" s="7"/>
      <c r="H332" s="2" t="e">
        <f t="shared" si="22"/>
        <v>#DIV/0!</v>
      </c>
      <c r="I332" s="2" t="e">
        <f t="shared" si="24"/>
        <v>#DIV/0!</v>
      </c>
      <c r="J332" s="3">
        <f t="shared" si="25"/>
        <v>-1</v>
      </c>
      <c r="K332" s="2">
        <f t="shared" si="26"/>
        <v>0</v>
      </c>
      <c r="L332" s="2">
        <f t="shared" si="23"/>
        <v>0</v>
      </c>
    </row>
    <row r="333" spans="1:12" x14ac:dyDescent="0.25">
      <c r="A333" s="1"/>
      <c r="G333" s="7"/>
      <c r="H333" s="2" t="e">
        <f t="shared" si="22"/>
        <v>#DIV/0!</v>
      </c>
      <c r="I333" s="2" t="e">
        <f t="shared" si="24"/>
        <v>#DIV/0!</v>
      </c>
      <c r="J333" s="3">
        <f t="shared" si="25"/>
        <v>-1</v>
      </c>
      <c r="K333" s="2">
        <f t="shared" si="26"/>
        <v>0</v>
      </c>
      <c r="L333" s="2">
        <f t="shared" si="23"/>
        <v>0</v>
      </c>
    </row>
    <row r="334" spans="1:12" x14ac:dyDescent="0.25">
      <c r="A334" s="1"/>
      <c r="G334" s="7"/>
      <c r="H334" s="2" t="e">
        <f t="shared" si="22"/>
        <v>#DIV/0!</v>
      </c>
      <c r="I334" s="2" t="e">
        <f t="shared" si="24"/>
        <v>#DIV/0!</v>
      </c>
      <c r="J334" s="3">
        <f t="shared" si="25"/>
        <v>-1</v>
      </c>
      <c r="K334" s="2">
        <f t="shared" si="26"/>
        <v>0</v>
      </c>
      <c r="L334" s="2">
        <f t="shared" si="23"/>
        <v>0</v>
      </c>
    </row>
    <row r="335" spans="1:12" x14ac:dyDescent="0.25">
      <c r="A335" s="1"/>
      <c r="G335" s="7"/>
      <c r="H335" s="2" t="e">
        <f t="shared" si="22"/>
        <v>#DIV/0!</v>
      </c>
      <c r="I335" s="2" t="e">
        <f t="shared" si="24"/>
        <v>#DIV/0!</v>
      </c>
      <c r="J335" s="3">
        <f t="shared" si="25"/>
        <v>-1</v>
      </c>
      <c r="K335" s="2">
        <f t="shared" si="26"/>
        <v>0</v>
      </c>
      <c r="L335" s="2">
        <f t="shared" si="23"/>
        <v>0</v>
      </c>
    </row>
    <row r="336" spans="1:12" x14ac:dyDescent="0.25">
      <c r="A336" s="1"/>
      <c r="G336" s="7"/>
      <c r="H336" s="2" t="e">
        <f t="shared" si="22"/>
        <v>#DIV/0!</v>
      </c>
      <c r="I336" s="2" t="e">
        <f t="shared" si="24"/>
        <v>#DIV/0!</v>
      </c>
      <c r="J336" s="3">
        <f t="shared" si="25"/>
        <v>-1</v>
      </c>
      <c r="K336" s="2">
        <f t="shared" si="26"/>
        <v>0</v>
      </c>
      <c r="L336" s="2">
        <f t="shared" si="23"/>
        <v>0</v>
      </c>
    </row>
    <row r="337" spans="1:12" x14ac:dyDescent="0.25">
      <c r="A337" s="1"/>
      <c r="G337" s="7"/>
      <c r="H337" s="2" t="e">
        <f t="shared" si="22"/>
        <v>#DIV/0!</v>
      </c>
      <c r="I337" s="2" t="e">
        <f t="shared" si="24"/>
        <v>#DIV/0!</v>
      </c>
      <c r="J337" s="3">
        <f t="shared" si="25"/>
        <v>-1</v>
      </c>
      <c r="K337" s="2">
        <f t="shared" si="26"/>
        <v>0</v>
      </c>
      <c r="L337" s="2">
        <f t="shared" si="23"/>
        <v>0</v>
      </c>
    </row>
    <row r="338" spans="1:12" x14ac:dyDescent="0.25">
      <c r="A338" s="1"/>
      <c r="G338" s="7"/>
      <c r="H338" s="2" t="e">
        <f t="shared" si="22"/>
        <v>#DIV/0!</v>
      </c>
      <c r="I338" s="2" t="e">
        <f t="shared" si="24"/>
        <v>#DIV/0!</v>
      </c>
      <c r="J338" s="3">
        <f t="shared" si="25"/>
        <v>-1</v>
      </c>
      <c r="K338" s="2">
        <f t="shared" si="26"/>
        <v>0</v>
      </c>
      <c r="L338" s="2">
        <f t="shared" si="23"/>
        <v>0</v>
      </c>
    </row>
    <row r="339" spans="1:12" x14ac:dyDescent="0.25">
      <c r="A339" s="1"/>
      <c r="G339" s="7"/>
      <c r="H339" s="2" t="e">
        <f t="shared" si="22"/>
        <v>#DIV/0!</v>
      </c>
      <c r="I339" s="2" t="e">
        <f t="shared" si="24"/>
        <v>#DIV/0!</v>
      </c>
      <c r="J339" s="3">
        <f t="shared" si="25"/>
        <v>-1</v>
      </c>
      <c r="K339" s="2">
        <f t="shared" si="26"/>
        <v>0</v>
      </c>
      <c r="L339" s="2">
        <f t="shared" si="23"/>
        <v>0</v>
      </c>
    </row>
    <row r="340" spans="1:12" x14ac:dyDescent="0.25">
      <c r="A340" s="1"/>
      <c r="G340" s="7"/>
      <c r="H340" s="2" t="e">
        <f t="shared" si="22"/>
        <v>#DIV/0!</v>
      </c>
      <c r="I340" s="2" t="e">
        <f t="shared" si="24"/>
        <v>#DIV/0!</v>
      </c>
      <c r="J340" s="3">
        <f t="shared" si="25"/>
        <v>-1</v>
      </c>
      <c r="K340" s="2">
        <f t="shared" si="26"/>
        <v>0</v>
      </c>
      <c r="L340" s="2">
        <f t="shared" si="23"/>
        <v>0</v>
      </c>
    </row>
    <row r="341" spans="1:12" x14ac:dyDescent="0.25">
      <c r="A341" s="1"/>
      <c r="G341" s="7"/>
      <c r="H341" s="2" t="e">
        <f t="shared" si="22"/>
        <v>#DIV/0!</v>
      </c>
      <c r="I341" s="2" t="e">
        <f t="shared" si="24"/>
        <v>#DIV/0!</v>
      </c>
      <c r="J341" s="3">
        <f t="shared" si="25"/>
        <v>-1</v>
      </c>
      <c r="K341" s="2">
        <f t="shared" si="26"/>
        <v>0</v>
      </c>
      <c r="L341" s="2">
        <f t="shared" si="23"/>
        <v>0</v>
      </c>
    </row>
    <row r="342" spans="1:12" x14ac:dyDescent="0.25">
      <c r="A342" s="1"/>
      <c r="G342" s="7"/>
      <c r="H342" s="2" t="e">
        <f t="shared" ref="H342:H405" si="27">AVERAGE(B323:B342)</f>
        <v>#DIV/0!</v>
      </c>
      <c r="I342" s="2" t="e">
        <f t="shared" si="24"/>
        <v>#DIV/0!</v>
      </c>
      <c r="J342" s="3">
        <f t="shared" si="25"/>
        <v>-1</v>
      </c>
      <c r="K342" s="2">
        <f t="shared" si="26"/>
        <v>0</v>
      </c>
      <c r="L342" s="2">
        <f t="shared" ref="L342:L405" si="28">AVERAGE(K323:K342)</f>
        <v>0</v>
      </c>
    </row>
    <row r="343" spans="1:12" x14ac:dyDescent="0.25">
      <c r="A343" s="1"/>
      <c r="G343" s="7"/>
      <c r="H343" s="2" t="e">
        <f t="shared" si="27"/>
        <v>#DIV/0!</v>
      </c>
      <c r="I343" s="2" t="e">
        <f t="shared" si="24"/>
        <v>#DIV/0!</v>
      </c>
      <c r="J343" s="3">
        <f t="shared" si="25"/>
        <v>-1</v>
      </c>
      <c r="K343" s="2">
        <f t="shared" si="26"/>
        <v>0</v>
      </c>
      <c r="L343" s="2">
        <f t="shared" si="28"/>
        <v>0</v>
      </c>
    </row>
    <row r="344" spans="1:12" x14ac:dyDescent="0.25">
      <c r="A344" s="1"/>
      <c r="G344" s="7"/>
      <c r="H344" s="2" t="e">
        <f t="shared" si="27"/>
        <v>#DIV/0!</v>
      </c>
      <c r="I344" s="2" t="e">
        <f t="shared" si="24"/>
        <v>#DIV/0!</v>
      </c>
      <c r="J344" s="3">
        <f t="shared" si="25"/>
        <v>-1</v>
      </c>
      <c r="K344" s="2">
        <f t="shared" si="26"/>
        <v>0</v>
      </c>
      <c r="L344" s="2">
        <f t="shared" si="28"/>
        <v>0</v>
      </c>
    </row>
    <row r="345" spans="1:12" x14ac:dyDescent="0.25">
      <c r="A345" s="1"/>
      <c r="G345" s="7"/>
      <c r="H345" s="2" t="e">
        <f t="shared" si="27"/>
        <v>#DIV/0!</v>
      </c>
      <c r="I345" s="2" t="e">
        <f t="shared" si="24"/>
        <v>#DIV/0!</v>
      </c>
      <c r="J345" s="3">
        <f t="shared" si="25"/>
        <v>-1</v>
      </c>
      <c r="K345" s="2">
        <f t="shared" si="26"/>
        <v>0</v>
      </c>
      <c r="L345" s="2">
        <f t="shared" si="28"/>
        <v>0</v>
      </c>
    </row>
    <row r="346" spans="1:12" x14ac:dyDescent="0.25">
      <c r="A346" s="1"/>
      <c r="G346" s="7"/>
      <c r="H346" s="2" t="e">
        <f t="shared" si="27"/>
        <v>#DIV/0!</v>
      </c>
      <c r="I346" s="2" t="e">
        <f t="shared" si="24"/>
        <v>#DIV/0!</v>
      </c>
      <c r="J346" s="3">
        <f t="shared" si="25"/>
        <v>-1</v>
      </c>
      <c r="K346" s="2">
        <f t="shared" si="26"/>
        <v>0</v>
      </c>
      <c r="L346" s="2">
        <f t="shared" si="28"/>
        <v>0</v>
      </c>
    </row>
    <row r="347" spans="1:12" x14ac:dyDescent="0.25">
      <c r="A347" s="1"/>
      <c r="G347" s="7"/>
      <c r="H347" s="2" t="e">
        <f t="shared" si="27"/>
        <v>#DIV/0!</v>
      </c>
      <c r="I347" s="2" t="e">
        <f t="shared" si="24"/>
        <v>#DIV/0!</v>
      </c>
      <c r="J347" s="3">
        <f t="shared" si="25"/>
        <v>-1</v>
      </c>
      <c r="K347" s="2">
        <f t="shared" si="26"/>
        <v>0</v>
      </c>
      <c r="L347" s="2">
        <f t="shared" si="28"/>
        <v>0</v>
      </c>
    </row>
    <row r="348" spans="1:12" x14ac:dyDescent="0.25">
      <c r="A348" s="1"/>
      <c r="G348" s="7"/>
      <c r="H348" s="2" t="e">
        <f t="shared" si="27"/>
        <v>#DIV/0!</v>
      </c>
      <c r="I348" s="2" t="e">
        <f t="shared" si="24"/>
        <v>#DIV/0!</v>
      </c>
      <c r="J348" s="3">
        <f t="shared" si="25"/>
        <v>-1</v>
      </c>
      <c r="K348" s="2">
        <f t="shared" si="26"/>
        <v>0</v>
      </c>
      <c r="L348" s="2">
        <f t="shared" si="28"/>
        <v>0</v>
      </c>
    </row>
    <row r="349" spans="1:12" x14ac:dyDescent="0.25">
      <c r="A349" s="1"/>
      <c r="G349" s="7"/>
      <c r="H349" s="2" t="e">
        <f t="shared" si="27"/>
        <v>#DIV/0!</v>
      </c>
      <c r="I349" s="2" t="e">
        <f t="shared" si="24"/>
        <v>#DIV/0!</v>
      </c>
      <c r="J349" s="3">
        <f t="shared" si="25"/>
        <v>-1</v>
      </c>
      <c r="K349" s="2">
        <f t="shared" si="26"/>
        <v>0</v>
      </c>
      <c r="L349" s="2">
        <f t="shared" si="28"/>
        <v>0</v>
      </c>
    </row>
    <row r="350" spans="1:12" x14ac:dyDescent="0.25">
      <c r="A350" s="1"/>
      <c r="G350" s="7"/>
      <c r="H350" s="2" t="e">
        <f t="shared" si="27"/>
        <v>#DIV/0!</v>
      </c>
      <c r="I350" s="2" t="e">
        <f t="shared" si="24"/>
        <v>#DIV/0!</v>
      </c>
      <c r="J350" s="3">
        <f t="shared" si="25"/>
        <v>-1</v>
      </c>
      <c r="K350" s="2">
        <f t="shared" si="26"/>
        <v>0</v>
      </c>
      <c r="L350" s="2">
        <f t="shared" si="28"/>
        <v>0</v>
      </c>
    </row>
    <row r="351" spans="1:12" x14ac:dyDescent="0.25">
      <c r="A351" s="1"/>
      <c r="G351" s="7"/>
      <c r="H351" s="2" t="e">
        <f t="shared" si="27"/>
        <v>#DIV/0!</v>
      </c>
      <c r="I351" s="2" t="e">
        <f t="shared" si="24"/>
        <v>#DIV/0!</v>
      </c>
      <c r="J351" s="3">
        <f t="shared" si="25"/>
        <v>-1</v>
      </c>
      <c r="K351" s="2">
        <f t="shared" si="26"/>
        <v>0</v>
      </c>
      <c r="L351" s="2">
        <f t="shared" si="28"/>
        <v>0</v>
      </c>
    </row>
    <row r="352" spans="1:12" x14ac:dyDescent="0.25">
      <c r="A352" s="1"/>
      <c r="G352" s="7"/>
      <c r="H352" s="2" t="e">
        <f t="shared" si="27"/>
        <v>#DIV/0!</v>
      </c>
      <c r="I352" s="2" t="e">
        <f t="shared" si="24"/>
        <v>#DIV/0!</v>
      </c>
      <c r="J352" s="3">
        <f t="shared" si="25"/>
        <v>-1</v>
      </c>
      <c r="K352" s="2">
        <f t="shared" si="26"/>
        <v>0</v>
      </c>
      <c r="L352" s="2">
        <f t="shared" si="28"/>
        <v>0</v>
      </c>
    </row>
    <row r="353" spans="1:12" x14ac:dyDescent="0.25">
      <c r="A353" s="1"/>
      <c r="G353" s="7"/>
      <c r="H353" s="2" t="e">
        <f t="shared" si="27"/>
        <v>#DIV/0!</v>
      </c>
      <c r="I353" s="2" t="e">
        <f t="shared" si="24"/>
        <v>#DIV/0!</v>
      </c>
      <c r="J353" s="3">
        <f t="shared" si="25"/>
        <v>-1</v>
      </c>
      <c r="K353" s="2">
        <f t="shared" si="26"/>
        <v>0</v>
      </c>
      <c r="L353" s="2">
        <f t="shared" si="28"/>
        <v>0</v>
      </c>
    </row>
    <row r="354" spans="1:12" x14ac:dyDescent="0.25">
      <c r="A354" s="1"/>
      <c r="G354" s="7"/>
      <c r="H354" s="2" t="e">
        <f t="shared" si="27"/>
        <v>#DIV/0!</v>
      </c>
      <c r="I354" s="2" t="e">
        <f t="shared" si="24"/>
        <v>#DIV/0!</v>
      </c>
      <c r="J354" s="3">
        <f t="shared" si="25"/>
        <v>-1</v>
      </c>
      <c r="K354" s="2">
        <f t="shared" si="26"/>
        <v>0</v>
      </c>
      <c r="L354" s="2">
        <f t="shared" si="28"/>
        <v>0</v>
      </c>
    </row>
    <row r="355" spans="1:12" x14ac:dyDescent="0.25">
      <c r="A355" s="1"/>
      <c r="G355" s="7"/>
      <c r="H355" s="2" t="e">
        <f t="shared" si="27"/>
        <v>#DIV/0!</v>
      </c>
      <c r="I355" s="2" t="e">
        <f t="shared" si="24"/>
        <v>#DIV/0!</v>
      </c>
      <c r="J355" s="3">
        <f t="shared" si="25"/>
        <v>-1</v>
      </c>
      <c r="K355" s="2">
        <f t="shared" si="26"/>
        <v>0</v>
      </c>
      <c r="L355" s="2">
        <f t="shared" si="28"/>
        <v>0</v>
      </c>
    </row>
    <row r="356" spans="1:12" x14ac:dyDescent="0.25">
      <c r="A356" s="1"/>
      <c r="G356" s="7"/>
      <c r="H356" s="2" t="e">
        <f t="shared" si="27"/>
        <v>#DIV/0!</v>
      </c>
      <c r="I356" s="2" t="e">
        <f t="shared" si="24"/>
        <v>#DIV/0!</v>
      </c>
      <c r="J356" s="3">
        <f t="shared" si="25"/>
        <v>-1</v>
      </c>
      <c r="K356" s="2">
        <f t="shared" si="26"/>
        <v>0</v>
      </c>
      <c r="L356" s="2">
        <f t="shared" si="28"/>
        <v>0</v>
      </c>
    </row>
    <row r="357" spans="1:12" x14ac:dyDescent="0.25">
      <c r="A357" s="1"/>
      <c r="G357" s="7"/>
      <c r="H357" s="2" t="e">
        <f t="shared" si="27"/>
        <v>#DIV/0!</v>
      </c>
      <c r="I357" s="2" t="e">
        <f t="shared" si="24"/>
        <v>#DIV/0!</v>
      </c>
      <c r="J357" s="3">
        <f t="shared" si="25"/>
        <v>-1</v>
      </c>
      <c r="K357" s="2">
        <f t="shared" si="26"/>
        <v>0</v>
      </c>
      <c r="L357" s="2">
        <f t="shared" si="28"/>
        <v>0</v>
      </c>
    </row>
    <row r="358" spans="1:12" x14ac:dyDescent="0.25">
      <c r="A358" s="1"/>
      <c r="G358" s="7"/>
      <c r="H358" s="2" t="e">
        <f t="shared" si="27"/>
        <v>#DIV/0!</v>
      </c>
      <c r="I358" s="2" t="e">
        <f t="shared" si="24"/>
        <v>#DIV/0!</v>
      </c>
      <c r="J358" s="3">
        <f t="shared" si="25"/>
        <v>-1</v>
      </c>
      <c r="K358" s="2">
        <f t="shared" si="26"/>
        <v>0</v>
      </c>
      <c r="L358" s="2">
        <f t="shared" si="28"/>
        <v>0</v>
      </c>
    </row>
    <row r="359" spans="1:12" x14ac:dyDescent="0.25">
      <c r="A359" s="1"/>
      <c r="G359" s="7"/>
      <c r="H359" s="2" t="e">
        <f t="shared" si="27"/>
        <v>#DIV/0!</v>
      </c>
      <c r="I359" s="2" t="e">
        <f t="shared" si="24"/>
        <v>#DIV/0!</v>
      </c>
      <c r="J359" s="3">
        <f t="shared" si="25"/>
        <v>-1</v>
      </c>
      <c r="K359" s="2">
        <f t="shared" si="26"/>
        <v>0</v>
      </c>
      <c r="L359" s="2">
        <f t="shared" si="28"/>
        <v>0</v>
      </c>
    </row>
    <row r="360" spans="1:12" x14ac:dyDescent="0.25">
      <c r="A360" s="1"/>
      <c r="G360" s="7"/>
      <c r="H360" s="2" t="e">
        <f t="shared" si="27"/>
        <v>#DIV/0!</v>
      </c>
      <c r="I360" s="2" t="e">
        <f t="shared" si="24"/>
        <v>#DIV/0!</v>
      </c>
      <c r="J360" s="3">
        <f t="shared" si="25"/>
        <v>-1</v>
      </c>
      <c r="K360" s="2">
        <f t="shared" si="26"/>
        <v>0</v>
      </c>
      <c r="L360" s="2">
        <f t="shared" si="28"/>
        <v>0</v>
      </c>
    </row>
    <row r="361" spans="1:12" x14ac:dyDescent="0.25">
      <c r="A361" s="1"/>
      <c r="G361" s="7"/>
      <c r="H361" s="2" t="e">
        <f t="shared" si="27"/>
        <v>#DIV/0!</v>
      </c>
      <c r="I361" s="2" t="e">
        <f t="shared" si="24"/>
        <v>#DIV/0!</v>
      </c>
      <c r="J361" s="3">
        <f t="shared" si="25"/>
        <v>-1</v>
      </c>
      <c r="K361" s="2">
        <f t="shared" si="26"/>
        <v>0</v>
      </c>
      <c r="L361" s="2">
        <f t="shared" si="28"/>
        <v>0</v>
      </c>
    </row>
    <row r="362" spans="1:12" x14ac:dyDescent="0.25">
      <c r="A362" s="1"/>
      <c r="G362" s="7"/>
      <c r="H362" s="2" t="e">
        <f t="shared" si="27"/>
        <v>#DIV/0!</v>
      </c>
      <c r="I362" s="2" t="e">
        <f t="shared" si="24"/>
        <v>#DIV/0!</v>
      </c>
      <c r="J362" s="3">
        <f t="shared" si="25"/>
        <v>-1</v>
      </c>
      <c r="K362" s="2">
        <f t="shared" si="26"/>
        <v>0</v>
      </c>
      <c r="L362" s="2">
        <f t="shared" si="28"/>
        <v>0</v>
      </c>
    </row>
    <row r="363" spans="1:12" x14ac:dyDescent="0.25">
      <c r="A363" s="1"/>
      <c r="G363" s="7"/>
      <c r="H363" s="2" t="e">
        <f t="shared" si="27"/>
        <v>#DIV/0!</v>
      </c>
      <c r="I363" s="2" t="e">
        <f t="shared" si="24"/>
        <v>#DIV/0!</v>
      </c>
      <c r="J363" s="3">
        <f t="shared" si="25"/>
        <v>-1</v>
      </c>
      <c r="K363" s="2">
        <f t="shared" si="26"/>
        <v>0</v>
      </c>
      <c r="L363" s="2">
        <f t="shared" si="28"/>
        <v>0</v>
      </c>
    </row>
    <row r="364" spans="1:12" x14ac:dyDescent="0.25">
      <c r="A364" s="1"/>
      <c r="G364" s="7"/>
      <c r="H364" s="2" t="e">
        <f t="shared" si="27"/>
        <v>#DIV/0!</v>
      </c>
      <c r="I364" s="2" t="e">
        <f t="shared" si="24"/>
        <v>#DIV/0!</v>
      </c>
      <c r="J364" s="3">
        <f t="shared" si="25"/>
        <v>-1</v>
      </c>
      <c r="K364" s="2">
        <f t="shared" si="26"/>
        <v>0</v>
      </c>
      <c r="L364" s="2">
        <f t="shared" si="28"/>
        <v>0</v>
      </c>
    </row>
    <row r="365" spans="1:12" x14ac:dyDescent="0.25">
      <c r="A365" s="1"/>
      <c r="G365" s="7"/>
      <c r="H365" s="2" t="e">
        <f t="shared" si="27"/>
        <v>#DIV/0!</v>
      </c>
      <c r="I365" s="2" t="e">
        <f t="shared" si="24"/>
        <v>#DIV/0!</v>
      </c>
      <c r="J365" s="3">
        <f t="shared" si="25"/>
        <v>-1</v>
      </c>
      <c r="K365" s="2">
        <f t="shared" si="26"/>
        <v>0</v>
      </c>
      <c r="L365" s="2">
        <f t="shared" si="28"/>
        <v>0</v>
      </c>
    </row>
    <row r="366" spans="1:12" x14ac:dyDescent="0.25">
      <c r="A366" s="1"/>
      <c r="G366" s="7"/>
      <c r="H366" s="2" t="e">
        <f t="shared" si="27"/>
        <v>#DIV/0!</v>
      </c>
      <c r="I366" s="2" t="e">
        <f t="shared" si="24"/>
        <v>#DIV/0!</v>
      </c>
      <c r="J366" s="3">
        <f t="shared" si="25"/>
        <v>-1</v>
      </c>
      <c r="K366" s="2">
        <f t="shared" si="26"/>
        <v>0</v>
      </c>
      <c r="L366" s="2">
        <f t="shared" si="28"/>
        <v>0</v>
      </c>
    </row>
    <row r="367" spans="1:12" x14ac:dyDescent="0.25">
      <c r="A367" s="1"/>
      <c r="G367" s="7"/>
      <c r="H367" s="2" t="e">
        <f t="shared" si="27"/>
        <v>#DIV/0!</v>
      </c>
      <c r="I367" s="2" t="e">
        <f t="shared" si="24"/>
        <v>#DIV/0!</v>
      </c>
      <c r="J367" s="3">
        <f t="shared" si="25"/>
        <v>-1</v>
      </c>
      <c r="K367" s="2">
        <f t="shared" si="26"/>
        <v>0</v>
      </c>
      <c r="L367" s="2">
        <f t="shared" si="28"/>
        <v>0</v>
      </c>
    </row>
    <row r="368" spans="1:12" x14ac:dyDescent="0.25">
      <c r="A368" s="1"/>
      <c r="G368" s="7"/>
      <c r="H368" s="2" t="e">
        <f t="shared" si="27"/>
        <v>#DIV/0!</v>
      </c>
      <c r="I368" s="2" t="e">
        <f t="shared" si="24"/>
        <v>#DIV/0!</v>
      </c>
      <c r="J368" s="3">
        <f t="shared" si="25"/>
        <v>-1</v>
      </c>
      <c r="K368" s="2">
        <f t="shared" si="26"/>
        <v>0</v>
      </c>
      <c r="L368" s="2">
        <f t="shared" si="28"/>
        <v>0</v>
      </c>
    </row>
    <row r="369" spans="1:12" x14ac:dyDescent="0.25">
      <c r="A369" s="1"/>
      <c r="G369" s="7"/>
      <c r="H369" s="2" t="e">
        <f t="shared" si="27"/>
        <v>#DIV/0!</v>
      </c>
      <c r="I369" s="2" t="e">
        <f t="shared" si="24"/>
        <v>#DIV/0!</v>
      </c>
      <c r="J369" s="3">
        <f t="shared" si="25"/>
        <v>-1</v>
      </c>
      <c r="K369" s="2">
        <f t="shared" si="26"/>
        <v>0</v>
      </c>
      <c r="L369" s="2">
        <f t="shared" si="28"/>
        <v>0</v>
      </c>
    </row>
    <row r="370" spans="1:12" x14ac:dyDescent="0.25">
      <c r="A370" s="1"/>
      <c r="G370" s="7"/>
      <c r="H370" s="2" t="e">
        <f t="shared" si="27"/>
        <v>#DIV/0!</v>
      </c>
      <c r="I370" s="2" t="e">
        <f t="shared" si="24"/>
        <v>#DIV/0!</v>
      </c>
      <c r="J370" s="3">
        <f t="shared" si="25"/>
        <v>-1</v>
      </c>
      <c r="K370" s="2">
        <f t="shared" si="26"/>
        <v>0</v>
      </c>
      <c r="L370" s="2">
        <f t="shared" si="28"/>
        <v>0</v>
      </c>
    </row>
    <row r="371" spans="1:12" x14ac:dyDescent="0.25">
      <c r="A371" s="1"/>
      <c r="G371" s="7"/>
      <c r="H371" s="2" t="e">
        <f t="shared" si="27"/>
        <v>#DIV/0!</v>
      </c>
      <c r="I371" s="2" t="e">
        <f t="shared" si="24"/>
        <v>#DIV/0!</v>
      </c>
      <c r="J371" s="3">
        <f t="shared" si="25"/>
        <v>-1</v>
      </c>
      <c r="K371" s="2">
        <f t="shared" si="26"/>
        <v>0</v>
      </c>
      <c r="L371" s="2">
        <f t="shared" si="28"/>
        <v>0</v>
      </c>
    </row>
    <row r="372" spans="1:12" x14ac:dyDescent="0.25">
      <c r="A372" s="1"/>
      <c r="G372" s="7"/>
      <c r="H372" s="2" t="e">
        <f t="shared" si="27"/>
        <v>#DIV/0!</v>
      </c>
      <c r="I372" s="2" t="e">
        <f t="shared" ref="I372:I418" si="29">AVERAGE(B323:B372)</f>
        <v>#DIV/0!</v>
      </c>
      <c r="J372" s="3">
        <f t="shared" si="25"/>
        <v>-1</v>
      </c>
      <c r="K372" s="2">
        <f t="shared" si="26"/>
        <v>0</v>
      </c>
      <c r="L372" s="2">
        <f t="shared" si="28"/>
        <v>0</v>
      </c>
    </row>
    <row r="373" spans="1:12" x14ac:dyDescent="0.25">
      <c r="A373" s="1"/>
      <c r="G373" s="7"/>
      <c r="H373" s="2" t="e">
        <f t="shared" si="27"/>
        <v>#DIV/0!</v>
      </c>
      <c r="I373" s="2" t="e">
        <f t="shared" si="29"/>
        <v>#DIV/0!</v>
      </c>
      <c r="J373" s="3">
        <f t="shared" si="25"/>
        <v>-1</v>
      </c>
      <c r="K373" s="2">
        <f t="shared" si="26"/>
        <v>0</v>
      </c>
      <c r="L373" s="2">
        <f t="shared" si="28"/>
        <v>0</v>
      </c>
    </row>
    <row r="374" spans="1:12" x14ac:dyDescent="0.25">
      <c r="A374" s="1"/>
      <c r="G374" s="7"/>
      <c r="H374" s="2" t="e">
        <f t="shared" si="27"/>
        <v>#DIV/0!</v>
      </c>
      <c r="I374" s="2" t="e">
        <f t="shared" si="29"/>
        <v>#DIV/0!</v>
      </c>
      <c r="J374" s="3">
        <f t="shared" si="25"/>
        <v>-1</v>
      </c>
      <c r="K374" s="2">
        <f t="shared" si="26"/>
        <v>0</v>
      </c>
      <c r="L374" s="2">
        <f t="shared" si="28"/>
        <v>0</v>
      </c>
    </row>
    <row r="375" spans="1:12" x14ac:dyDescent="0.25">
      <c r="A375" s="1"/>
      <c r="G375" s="7"/>
      <c r="H375" s="2" t="e">
        <f t="shared" si="27"/>
        <v>#DIV/0!</v>
      </c>
      <c r="I375" s="2" t="e">
        <f t="shared" si="29"/>
        <v>#DIV/0!</v>
      </c>
      <c r="J375" s="3">
        <f t="shared" si="25"/>
        <v>-1</v>
      </c>
      <c r="K375" s="2">
        <f t="shared" si="26"/>
        <v>0</v>
      </c>
      <c r="L375" s="2">
        <f t="shared" si="28"/>
        <v>0</v>
      </c>
    </row>
    <row r="376" spans="1:12" x14ac:dyDescent="0.25">
      <c r="A376" s="1"/>
      <c r="G376" s="7"/>
      <c r="H376" s="2" t="e">
        <f t="shared" si="27"/>
        <v>#DIV/0!</v>
      </c>
      <c r="I376" s="2" t="e">
        <f t="shared" si="29"/>
        <v>#DIV/0!</v>
      </c>
      <c r="J376" s="3">
        <f t="shared" si="25"/>
        <v>-1</v>
      </c>
      <c r="K376" s="2">
        <f t="shared" si="26"/>
        <v>0</v>
      </c>
      <c r="L376" s="2">
        <f t="shared" si="28"/>
        <v>0</v>
      </c>
    </row>
    <row r="377" spans="1:12" x14ac:dyDescent="0.25">
      <c r="A377" s="1"/>
      <c r="G377" s="7"/>
      <c r="H377" s="2" t="e">
        <f t="shared" si="27"/>
        <v>#DIV/0!</v>
      </c>
      <c r="I377" s="2" t="e">
        <f t="shared" si="29"/>
        <v>#DIV/0!</v>
      </c>
      <c r="J377" s="3">
        <f t="shared" si="25"/>
        <v>-1</v>
      </c>
      <c r="K377" s="2">
        <f t="shared" si="26"/>
        <v>0</v>
      </c>
      <c r="L377" s="2">
        <f t="shared" si="28"/>
        <v>0</v>
      </c>
    </row>
    <row r="378" spans="1:12" x14ac:dyDescent="0.25">
      <c r="A378" s="1"/>
      <c r="G378" s="7"/>
      <c r="H378" s="2" t="e">
        <f t="shared" si="27"/>
        <v>#DIV/0!</v>
      </c>
      <c r="I378" s="2" t="e">
        <f t="shared" si="29"/>
        <v>#DIV/0!</v>
      </c>
      <c r="J378" s="3">
        <f t="shared" si="25"/>
        <v>-1</v>
      </c>
      <c r="K378" s="2">
        <f t="shared" si="26"/>
        <v>0</v>
      </c>
      <c r="L378" s="2">
        <f t="shared" si="28"/>
        <v>0</v>
      </c>
    </row>
    <row r="379" spans="1:12" x14ac:dyDescent="0.25">
      <c r="A379" s="1"/>
      <c r="G379" s="7"/>
      <c r="H379" s="2" t="e">
        <f t="shared" si="27"/>
        <v>#DIV/0!</v>
      </c>
      <c r="I379" s="2" t="e">
        <f t="shared" si="29"/>
        <v>#DIV/0!</v>
      </c>
      <c r="J379" s="3">
        <f t="shared" si="25"/>
        <v>-1</v>
      </c>
      <c r="K379" s="2">
        <f t="shared" si="26"/>
        <v>0</v>
      </c>
      <c r="L379" s="2">
        <f t="shared" si="28"/>
        <v>0</v>
      </c>
    </row>
    <row r="380" spans="1:12" x14ac:dyDescent="0.25">
      <c r="A380" s="1"/>
      <c r="G380" s="7"/>
      <c r="H380" s="2" t="e">
        <f t="shared" si="27"/>
        <v>#DIV/0!</v>
      </c>
      <c r="I380" s="2" t="e">
        <f t="shared" si="29"/>
        <v>#DIV/0!</v>
      </c>
      <c r="J380" s="3">
        <f t="shared" si="25"/>
        <v>-1</v>
      </c>
      <c r="K380" s="2">
        <f t="shared" si="26"/>
        <v>0</v>
      </c>
      <c r="L380" s="2">
        <f t="shared" si="28"/>
        <v>0</v>
      </c>
    </row>
    <row r="381" spans="1:12" x14ac:dyDescent="0.25">
      <c r="A381" s="1"/>
      <c r="G381" s="7"/>
      <c r="H381" s="2" t="e">
        <f t="shared" si="27"/>
        <v>#DIV/0!</v>
      </c>
      <c r="I381" s="2" t="e">
        <f t="shared" si="29"/>
        <v>#DIV/0!</v>
      </c>
      <c r="J381" s="3">
        <f t="shared" si="25"/>
        <v>-1</v>
      </c>
      <c r="K381" s="2">
        <f t="shared" si="26"/>
        <v>0</v>
      </c>
      <c r="L381" s="2">
        <f t="shared" si="28"/>
        <v>0</v>
      </c>
    </row>
    <row r="382" spans="1:12" x14ac:dyDescent="0.25">
      <c r="A382" s="1"/>
      <c r="G382" s="7"/>
      <c r="H382" s="2" t="e">
        <f t="shared" si="27"/>
        <v>#DIV/0!</v>
      </c>
      <c r="I382" s="2" t="e">
        <f t="shared" si="29"/>
        <v>#DIV/0!</v>
      </c>
      <c r="J382" s="3">
        <f t="shared" si="25"/>
        <v>-1</v>
      </c>
      <c r="K382" s="2">
        <f t="shared" si="26"/>
        <v>0</v>
      </c>
      <c r="L382" s="2">
        <f t="shared" si="28"/>
        <v>0</v>
      </c>
    </row>
    <row r="383" spans="1:12" x14ac:dyDescent="0.25">
      <c r="A383" s="1"/>
      <c r="G383" s="7"/>
      <c r="H383" s="2" t="e">
        <f t="shared" si="27"/>
        <v>#DIV/0!</v>
      </c>
      <c r="I383" s="2" t="e">
        <f t="shared" si="29"/>
        <v>#DIV/0!</v>
      </c>
      <c r="J383" s="3">
        <f t="shared" si="25"/>
        <v>-1</v>
      </c>
      <c r="K383" s="2">
        <f t="shared" si="26"/>
        <v>0</v>
      </c>
      <c r="L383" s="2">
        <f t="shared" si="28"/>
        <v>0</v>
      </c>
    </row>
    <row r="384" spans="1:12" x14ac:dyDescent="0.25">
      <c r="A384" s="1"/>
      <c r="G384" s="7"/>
      <c r="H384" s="2" t="e">
        <f t="shared" si="27"/>
        <v>#DIV/0!</v>
      </c>
      <c r="I384" s="2" t="e">
        <f t="shared" si="29"/>
        <v>#DIV/0!</v>
      </c>
      <c r="J384" s="3">
        <f t="shared" si="25"/>
        <v>-1</v>
      </c>
      <c r="K384" s="2">
        <f t="shared" si="26"/>
        <v>0</v>
      </c>
      <c r="L384" s="2">
        <f t="shared" si="28"/>
        <v>0</v>
      </c>
    </row>
    <row r="385" spans="1:12" x14ac:dyDescent="0.25">
      <c r="A385" s="1"/>
      <c r="G385" s="7"/>
      <c r="H385" s="2" t="e">
        <f t="shared" si="27"/>
        <v>#DIV/0!</v>
      </c>
      <c r="I385" s="2" t="e">
        <f t="shared" si="29"/>
        <v>#DIV/0!</v>
      </c>
      <c r="J385" s="3">
        <f t="shared" si="25"/>
        <v>-1</v>
      </c>
      <c r="K385" s="2">
        <f t="shared" si="26"/>
        <v>0</v>
      </c>
      <c r="L385" s="2">
        <f t="shared" si="28"/>
        <v>0</v>
      </c>
    </row>
    <row r="386" spans="1:12" x14ac:dyDescent="0.25">
      <c r="A386" s="1"/>
      <c r="G386" s="7"/>
      <c r="H386" s="2" t="e">
        <f t="shared" si="27"/>
        <v>#DIV/0!</v>
      </c>
      <c r="I386" s="2" t="e">
        <f t="shared" si="29"/>
        <v>#DIV/0!</v>
      </c>
      <c r="J386" s="3">
        <f t="shared" si="25"/>
        <v>-1</v>
      </c>
      <c r="K386" s="2">
        <f t="shared" si="26"/>
        <v>0</v>
      </c>
      <c r="L386" s="2">
        <f t="shared" si="28"/>
        <v>0</v>
      </c>
    </row>
    <row r="387" spans="1:12" x14ac:dyDescent="0.25">
      <c r="A387" s="1"/>
      <c r="G387" s="7"/>
      <c r="H387" s="2" t="e">
        <f t="shared" si="27"/>
        <v>#DIV/0!</v>
      </c>
      <c r="I387" s="2" t="e">
        <f t="shared" si="29"/>
        <v>#DIV/0!</v>
      </c>
      <c r="J387" s="3">
        <f t="shared" ref="J387:J418" si="30">(B387/$B$2)-1</f>
        <v>-1</v>
      </c>
      <c r="K387" s="2">
        <f t="shared" ref="K387:K418" si="31">D387-E387</f>
        <v>0</v>
      </c>
      <c r="L387" s="2">
        <f t="shared" si="28"/>
        <v>0</v>
      </c>
    </row>
    <row r="388" spans="1:12" x14ac:dyDescent="0.25">
      <c r="A388" s="1"/>
      <c r="G388" s="7"/>
      <c r="H388" s="2" t="e">
        <f t="shared" si="27"/>
        <v>#DIV/0!</v>
      </c>
      <c r="I388" s="2" t="e">
        <f t="shared" si="29"/>
        <v>#DIV/0!</v>
      </c>
      <c r="J388" s="3">
        <f t="shared" si="30"/>
        <v>-1</v>
      </c>
      <c r="K388" s="2">
        <f t="shared" si="31"/>
        <v>0</v>
      </c>
      <c r="L388" s="2">
        <f t="shared" si="28"/>
        <v>0</v>
      </c>
    </row>
    <row r="389" spans="1:12" x14ac:dyDescent="0.25">
      <c r="A389" s="1"/>
      <c r="G389" s="7"/>
      <c r="H389" s="2" t="e">
        <f t="shared" si="27"/>
        <v>#DIV/0!</v>
      </c>
      <c r="I389" s="2" t="e">
        <f t="shared" si="29"/>
        <v>#DIV/0!</v>
      </c>
      <c r="J389" s="3">
        <f t="shared" si="30"/>
        <v>-1</v>
      </c>
      <c r="K389" s="2">
        <f t="shared" si="31"/>
        <v>0</v>
      </c>
      <c r="L389" s="2">
        <f t="shared" si="28"/>
        <v>0</v>
      </c>
    </row>
    <row r="390" spans="1:12" x14ac:dyDescent="0.25">
      <c r="A390" s="1"/>
      <c r="G390" s="7"/>
      <c r="H390" s="2" t="e">
        <f t="shared" si="27"/>
        <v>#DIV/0!</v>
      </c>
      <c r="I390" s="2" t="e">
        <f t="shared" si="29"/>
        <v>#DIV/0!</v>
      </c>
      <c r="J390" s="3">
        <f t="shared" si="30"/>
        <v>-1</v>
      </c>
      <c r="K390" s="2">
        <f t="shared" si="31"/>
        <v>0</v>
      </c>
      <c r="L390" s="2">
        <f t="shared" si="28"/>
        <v>0</v>
      </c>
    </row>
    <row r="391" spans="1:12" x14ac:dyDescent="0.25">
      <c r="A391" s="1"/>
      <c r="G391" s="7"/>
      <c r="H391" s="2" t="e">
        <f t="shared" si="27"/>
        <v>#DIV/0!</v>
      </c>
      <c r="I391" s="2" t="e">
        <f t="shared" si="29"/>
        <v>#DIV/0!</v>
      </c>
      <c r="J391" s="3">
        <f t="shared" si="30"/>
        <v>-1</v>
      </c>
      <c r="K391" s="2">
        <f t="shared" si="31"/>
        <v>0</v>
      </c>
      <c r="L391" s="2">
        <f t="shared" si="28"/>
        <v>0</v>
      </c>
    </row>
    <row r="392" spans="1:12" x14ac:dyDescent="0.25">
      <c r="A392" s="1"/>
      <c r="G392" s="7"/>
      <c r="H392" s="2" t="e">
        <f t="shared" si="27"/>
        <v>#DIV/0!</v>
      </c>
      <c r="I392" s="2" t="e">
        <f t="shared" si="29"/>
        <v>#DIV/0!</v>
      </c>
      <c r="J392" s="3">
        <f t="shared" si="30"/>
        <v>-1</v>
      </c>
      <c r="K392" s="2">
        <f t="shared" si="31"/>
        <v>0</v>
      </c>
      <c r="L392" s="2">
        <f t="shared" si="28"/>
        <v>0</v>
      </c>
    </row>
    <row r="393" spans="1:12" x14ac:dyDescent="0.25">
      <c r="A393" s="1"/>
      <c r="G393" s="7"/>
      <c r="H393" s="2" t="e">
        <f t="shared" si="27"/>
        <v>#DIV/0!</v>
      </c>
      <c r="I393" s="2" t="e">
        <f t="shared" si="29"/>
        <v>#DIV/0!</v>
      </c>
      <c r="J393" s="3">
        <f t="shared" si="30"/>
        <v>-1</v>
      </c>
      <c r="K393" s="2">
        <f t="shared" si="31"/>
        <v>0</v>
      </c>
      <c r="L393" s="2">
        <f t="shared" si="28"/>
        <v>0</v>
      </c>
    </row>
    <row r="394" spans="1:12" x14ac:dyDescent="0.25">
      <c r="A394" s="1"/>
      <c r="G394" s="7"/>
      <c r="H394" s="2" t="e">
        <f t="shared" si="27"/>
        <v>#DIV/0!</v>
      </c>
      <c r="I394" s="2" t="e">
        <f t="shared" si="29"/>
        <v>#DIV/0!</v>
      </c>
      <c r="J394" s="3">
        <f t="shared" si="30"/>
        <v>-1</v>
      </c>
      <c r="K394" s="2">
        <f t="shared" si="31"/>
        <v>0</v>
      </c>
      <c r="L394" s="2">
        <f t="shared" si="28"/>
        <v>0</v>
      </c>
    </row>
    <row r="395" spans="1:12" x14ac:dyDescent="0.25">
      <c r="A395" s="1"/>
      <c r="G395" s="7"/>
      <c r="H395" s="2" t="e">
        <f t="shared" si="27"/>
        <v>#DIV/0!</v>
      </c>
      <c r="I395" s="2" t="e">
        <f t="shared" si="29"/>
        <v>#DIV/0!</v>
      </c>
      <c r="J395" s="3">
        <f t="shared" si="30"/>
        <v>-1</v>
      </c>
      <c r="K395" s="2">
        <f t="shared" si="31"/>
        <v>0</v>
      </c>
      <c r="L395" s="2">
        <f t="shared" si="28"/>
        <v>0</v>
      </c>
    </row>
    <row r="396" spans="1:12" x14ac:dyDescent="0.25">
      <c r="A396" s="1"/>
      <c r="G396" s="7"/>
      <c r="H396" s="2" t="e">
        <f t="shared" si="27"/>
        <v>#DIV/0!</v>
      </c>
      <c r="I396" s="2" t="e">
        <f t="shared" si="29"/>
        <v>#DIV/0!</v>
      </c>
      <c r="J396" s="3">
        <f t="shared" si="30"/>
        <v>-1</v>
      </c>
      <c r="K396" s="2">
        <f t="shared" si="31"/>
        <v>0</v>
      </c>
      <c r="L396" s="2">
        <f t="shared" si="28"/>
        <v>0</v>
      </c>
    </row>
    <row r="397" spans="1:12" x14ac:dyDescent="0.25">
      <c r="A397" s="1"/>
      <c r="G397" s="7"/>
      <c r="H397" s="2" t="e">
        <f t="shared" si="27"/>
        <v>#DIV/0!</v>
      </c>
      <c r="I397" s="2" t="e">
        <f t="shared" si="29"/>
        <v>#DIV/0!</v>
      </c>
      <c r="J397" s="3">
        <f t="shared" si="30"/>
        <v>-1</v>
      </c>
      <c r="K397" s="2">
        <f t="shared" si="31"/>
        <v>0</v>
      </c>
      <c r="L397" s="2">
        <f t="shared" si="28"/>
        <v>0</v>
      </c>
    </row>
    <row r="398" spans="1:12" x14ac:dyDescent="0.25">
      <c r="A398" s="1"/>
      <c r="G398" s="7"/>
      <c r="H398" s="2" t="e">
        <f t="shared" si="27"/>
        <v>#DIV/0!</v>
      </c>
      <c r="I398" s="2" t="e">
        <f t="shared" si="29"/>
        <v>#DIV/0!</v>
      </c>
      <c r="J398" s="3">
        <f t="shared" si="30"/>
        <v>-1</v>
      </c>
      <c r="K398" s="2">
        <f t="shared" si="31"/>
        <v>0</v>
      </c>
      <c r="L398" s="2">
        <f t="shared" si="28"/>
        <v>0</v>
      </c>
    </row>
    <row r="399" spans="1:12" x14ac:dyDescent="0.25">
      <c r="A399" s="1"/>
      <c r="G399" s="7"/>
      <c r="H399" s="2" t="e">
        <f t="shared" si="27"/>
        <v>#DIV/0!</v>
      </c>
      <c r="I399" s="2" t="e">
        <f t="shared" si="29"/>
        <v>#DIV/0!</v>
      </c>
      <c r="J399" s="3">
        <f t="shared" si="30"/>
        <v>-1</v>
      </c>
      <c r="K399" s="2">
        <f t="shared" si="31"/>
        <v>0</v>
      </c>
      <c r="L399" s="2">
        <f t="shared" si="28"/>
        <v>0</v>
      </c>
    </row>
    <row r="400" spans="1:12" x14ac:dyDescent="0.25">
      <c r="A400" s="1"/>
      <c r="G400" s="7"/>
      <c r="H400" s="2" t="e">
        <f t="shared" si="27"/>
        <v>#DIV/0!</v>
      </c>
      <c r="I400" s="2" t="e">
        <f t="shared" si="29"/>
        <v>#DIV/0!</v>
      </c>
      <c r="J400" s="3">
        <f t="shared" si="30"/>
        <v>-1</v>
      </c>
      <c r="K400" s="2">
        <f t="shared" si="31"/>
        <v>0</v>
      </c>
      <c r="L400" s="2">
        <f t="shared" si="28"/>
        <v>0</v>
      </c>
    </row>
    <row r="401" spans="1:12" x14ac:dyDescent="0.25">
      <c r="A401" s="1"/>
      <c r="G401" s="7"/>
      <c r="H401" s="2" t="e">
        <f t="shared" si="27"/>
        <v>#DIV/0!</v>
      </c>
      <c r="I401" s="2" t="e">
        <f t="shared" si="29"/>
        <v>#DIV/0!</v>
      </c>
      <c r="J401" s="3">
        <f t="shared" si="30"/>
        <v>-1</v>
      </c>
      <c r="K401" s="2">
        <f t="shared" si="31"/>
        <v>0</v>
      </c>
      <c r="L401" s="2">
        <f t="shared" si="28"/>
        <v>0</v>
      </c>
    </row>
    <row r="402" spans="1:12" x14ac:dyDescent="0.25">
      <c r="A402" s="1"/>
      <c r="G402" s="7"/>
      <c r="H402" s="2" t="e">
        <f t="shared" si="27"/>
        <v>#DIV/0!</v>
      </c>
      <c r="I402" s="2" t="e">
        <f t="shared" si="29"/>
        <v>#DIV/0!</v>
      </c>
      <c r="J402" s="3">
        <f t="shared" si="30"/>
        <v>-1</v>
      </c>
      <c r="K402" s="2">
        <f t="shared" si="31"/>
        <v>0</v>
      </c>
      <c r="L402" s="2">
        <f t="shared" si="28"/>
        <v>0</v>
      </c>
    </row>
    <row r="403" spans="1:12" x14ac:dyDescent="0.25">
      <c r="A403" s="1"/>
      <c r="G403" s="7"/>
      <c r="H403" s="2" t="e">
        <f t="shared" si="27"/>
        <v>#DIV/0!</v>
      </c>
      <c r="I403" s="2" t="e">
        <f t="shared" si="29"/>
        <v>#DIV/0!</v>
      </c>
      <c r="J403" s="3">
        <f t="shared" si="30"/>
        <v>-1</v>
      </c>
      <c r="K403" s="2">
        <f t="shared" si="31"/>
        <v>0</v>
      </c>
      <c r="L403" s="2">
        <f t="shared" si="28"/>
        <v>0</v>
      </c>
    </row>
    <row r="404" spans="1:12" x14ac:dyDescent="0.25">
      <c r="A404" s="1"/>
      <c r="G404" s="7"/>
      <c r="H404" s="2" t="e">
        <f t="shared" si="27"/>
        <v>#DIV/0!</v>
      </c>
      <c r="I404" s="2" t="e">
        <f t="shared" si="29"/>
        <v>#DIV/0!</v>
      </c>
      <c r="J404" s="3">
        <f t="shared" si="30"/>
        <v>-1</v>
      </c>
      <c r="K404" s="2">
        <f t="shared" si="31"/>
        <v>0</v>
      </c>
      <c r="L404" s="2">
        <f t="shared" si="28"/>
        <v>0</v>
      </c>
    </row>
    <row r="405" spans="1:12" x14ac:dyDescent="0.25">
      <c r="A405" s="1"/>
      <c r="G405" s="7"/>
      <c r="H405" s="2" t="e">
        <f t="shared" si="27"/>
        <v>#DIV/0!</v>
      </c>
      <c r="I405" s="2" t="e">
        <f t="shared" si="29"/>
        <v>#DIV/0!</v>
      </c>
      <c r="J405" s="3">
        <f t="shared" si="30"/>
        <v>-1</v>
      </c>
      <c r="K405" s="2">
        <f t="shared" si="31"/>
        <v>0</v>
      </c>
      <c r="L405" s="2">
        <f t="shared" si="28"/>
        <v>0</v>
      </c>
    </row>
    <row r="406" spans="1:12" x14ac:dyDescent="0.25">
      <c r="A406" s="1"/>
      <c r="G406" s="7"/>
      <c r="H406" s="2" t="e">
        <f t="shared" ref="H406:H418" si="32">AVERAGE(B387:B406)</f>
        <v>#DIV/0!</v>
      </c>
      <c r="I406" s="2" t="e">
        <f t="shared" si="29"/>
        <v>#DIV/0!</v>
      </c>
      <c r="J406" s="3">
        <f t="shared" si="30"/>
        <v>-1</v>
      </c>
      <c r="K406" s="2">
        <f t="shared" si="31"/>
        <v>0</v>
      </c>
      <c r="L406" s="2">
        <f t="shared" ref="L406:L418" si="33">AVERAGE(K387:K406)</f>
        <v>0</v>
      </c>
    </row>
    <row r="407" spans="1:12" x14ac:dyDescent="0.25">
      <c r="A407" s="1"/>
      <c r="G407" s="7"/>
      <c r="H407" s="2" t="e">
        <f t="shared" si="32"/>
        <v>#DIV/0!</v>
      </c>
      <c r="I407" s="2" t="e">
        <f t="shared" si="29"/>
        <v>#DIV/0!</v>
      </c>
      <c r="J407" s="3">
        <f t="shared" si="30"/>
        <v>-1</v>
      </c>
      <c r="K407" s="2">
        <f t="shared" si="31"/>
        <v>0</v>
      </c>
      <c r="L407" s="2">
        <f t="shared" si="33"/>
        <v>0</v>
      </c>
    </row>
    <row r="408" spans="1:12" x14ac:dyDescent="0.25">
      <c r="A408" s="1"/>
      <c r="G408" s="7"/>
      <c r="H408" s="2" t="e">
        <f t="shared" si="32"/>
        <v>#DIV/0!</v>
      </c>
      <c r="I408" s="2" t="e">
        <f t="shared" si="29"/>
        <v>#DIV/0!</v>
      </c>
      <c r="J408" s="3">
        <f t="shared" si="30"/>
        <v>-1</v>
      </c>
      <c r="K408" s="2">
        <f t="shared" si="31"/>
        <v>0</v>
      </c>
      <c r="L408" s="2">
        <f t="shared" si="33"/>
        <v>0</v>
      </c>
    </row>
    <row r="409" spans="1:12" x14ac:dyDescent="0.25">
      <c r="A409" s="1"/>
      <c r="G409" s="7"/>
      <c r="H409" s="2" t="e">
        <f t="shared" si="32"/>
        <v>#DIV/0!</v>
      </c>
      <c r="I409" s="2" t="e">
        <f t="shared" si="29"/>
        <v>#DIV/0!</v>
      </c>
      <c r="J409" s="3">
        <f t="shared" si="30"/>
        <v>-1</v>
      </c>
      <c r="K409" s="2">
        <f t="shared" si="31"/>
        <v>0</v>
      </c>
      <c r="L409" s="2">
        <f t="shared" si="33"/>
        <v>0</v>
      </c>
    </row>
    <row r="410" spans="1:12" x14ac:dyDescent="0.25">
      <c r="A410" s="1"/>
      <c r="G410" s="7"/>
      <c r="H410" s="2" t="e">
        <f t="shared" si="32"/>
        <v>#DIV/0!</v>
      </c>
      <c r="I410" s="2" t="e">
        <f t="shared" si="29"/>
        <v>#DIV/0!</v>
      </c>
      <c r="J410" s="3">
        <f t="shared" si="30"/>
        <v>-1</v>
      </c>
      <c r="K410" s="2">
        <f t="shared" si="31"/>
        <v>0</v>
      </c>
      <c r="L410" s="2">
        <f t="shared" si="33"/>
        <v>0</v>
      </c>
    </row>
    <row r="411" spans="1:12" x14ac:dyDescent="0.25">
      <c r="A411" s="1"/>
      <c r="G411" s="7"/>
      <c r="H411" s="2" t="e">
        <f t="shared" si="32"/>
        <v>#DIV/0!</v>
      </c>
      <c r="I411" s="2" t="e">
        <f t="shared" si="29"/>
        <v>#DIV/0!</v>
      </c>
      <c r="J411" s="3">
        <f t="shared" si="30"/>
        <v>-1</v>
      </c>
      <c r="K411" s="2">
        <f t="shared" si="31"/>
        <v>0</v>
      </c>
      <c r="L411" s="2">
        <f t="shared" si="33"/>
        <v>0</v>
      </c>
    </row>
    <row r="412" spans="1:12" x14ac:dyDescent="0.25">
      <c r="A412" s="1"/>
      <c r="G412" s="7"/>
      <c r="H412" s="2" t="e">
        <f t="shared" si="32"/>
        <v>#DIV/0!</v>
      </c>
      <c r="I412" s="2" t="e">
        <f t="shared" si="29"/>
        <v>#DIV/0!</v>
      </c>
      <c r="J412" s="3">
        <f t="shared" si="30"/>
        <v>-1</v>
      </c>
      <c r="K412" s="2">
        <f t="shared" si="31"/>
        <v>0</v>
      </c>
      <c r="L412" s="2">
        <f t="shared" si="33"/>
        <v>0</v>
      </c>
    </row>
    <row r="413" spans="1:12" x14ac:dyDescent="0.25">
      <c r="A413" s="1"/>
      <c r="G413" s="7"/>
      <c r="H413" s="2" t="e">
        <f t="shared" si="32"/>
        <v>#DIV/0!</v>
      </c>
      <c r="I413" s="2" t="e">
        <f t="shared" si="29"/>
        <v>#DIV/0!</v>
      </c>
      <c r="J413" s="3">
        <f t="shared" si="30"/>
        <v>-1</v>
      </c>
      <c r="K413" s="2">
        <f t="shared" si="31"/>
        <v>0</v>
      </c>
      <c r="L413" s="2">
        <f t="shared" si="33"/>
        <v>0</v>
      </c>
    </row>
    <row r="414" spans="1:12" x14ac:dyDescent="0.25">
      <c r="A414" s="1"/>
      <c r="G414" s="7"/>
      <c r="H414" s="2" t="e">
        <f t="shared" si="32"/>
        <v>#DIV/0!</v>
      </c>
      <c r="I414" s="2" t="e">
        <f t="shared" si="29"/>
        <v>#DIV/0!</v>
      </c>
      <c r="J414" s="3">
        <f t="shared" si="30"/>
        <v>-1</v>
      </c>
      <c r="K414" s="2">
        <f t="shared" si="31"/>
        <v>0</v>
      </c>
      <c r="L414" s="2">
        <f t="shared" si="33"/>
        <v>0</v>
      </c>
    </row>
    <row r="415" spans="1:12" x14ac:dyDescent="0.25">
      <c r="A415" s="1"/>
      <c r="G415" s="7"/>
      <c r="H415" s="2" t="e">
        <f t="shared" si="32"/>
        <v>#DIV/0!</v>
      </c>
      <c r="I415" s="2" t="e">
        <f t="shared" si="29"/>
        <v>#DIV/0!</v>
      </c>
      <c r="J415" s="3">
        <f t="shared" si="30"/>
        <v>-1</v>
      </c>
      <c r="K415" s="2">
        <f t="shared" si="31"/>
        <v>0</v>
      </c>
      <c r="L415" s="2">
        <f t="shared" si="33"/>
        <v>0</v>
      </c>
    </row>
    <row r="416" spans="1:12" x14ac:dyDescent="0.25">
      <c r="A416" s="1"/>
      <c r="G416" s="7"/>
      <c r="H416" s="2" t="e">
        <f t="shared" si="32"/>
        <v>#DIV/0!</v>
      </c>
      <c r="I416" s="2" t="e">
        <f t="shared" si="29"/>
        <v>#DIV/0!</v>
      </c>
      <c r="J416" s="3">
        <f t="shared" si="30"/>
        <v>-1</v>
      </c>
      <c r="K416" s="2">
        <f t="shared" si="31"/>
        <v>0</v>
      </c>
      <c r="L416" s="2">
        <f t="shared" si="33"/>
        <v>0</v>
      </c>
    </row>
    <row r="417" spans="1:12" x14ac:dyDescent="0.25">
      <c r="A417" s="1"/>
      <c r="G417" s="7"/>
      <c r="H417" s="2" t="e">
        <f t="shared" si="32"/>
        <v>#DIV/0!</v>
      </c>
      <c r="I417" s="2" t="e">
        <f t="shared" si="29"/>
        <v>#DIV/0!</v>
      </c>
      <c r="J417" s="3">
        <f t="shared" si="30"/>
        <v>-1</v>
      </c>
      <c r="K417" s="2">
        <f t="shared" si="31"/>
        <v>0</v>
      </c>
      <c r="L417" s="2">
        <f t="shared" si="33"/>
        <v>0</v>
      </c>
    </row>
    <row r="418" spans="1:12" x14ac:dyDescent="0.25">
      <c r="A418" s="1"/>
      <c r="G418" s="7"/>
      <c r="H418" s="2" t="e">
        <f t="shared" si="32"/>
        <v>#DIV/0!</v>
      </c>
      <c r="I418" s="2" t="e">
        <f t="shared" si="29"/>
        <v>#DIV/0!</v>
      </c>
      <c r="J418" s="3">
        <f t="shared" si="30"/>
        <v>-1</v>
      </c>
      <c r="K418" s="2">
        <f t="shared" si="31"/>
        <v>0</v>
      </c>
      <c r="L418" s="2">
        <f t="shared" si="3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ACC2-B776-48A2-9E2B-E190AF2D75DC}">
  <dimension ref="A1"/>
  <sheetViews>
    <sheetView workbookViewId="0">
      <selection activeCell="I31" sqref="I31"/>
    </sheetView>
  </sheetViews>
  <sheetFormatPr defaultRowHeight="15" x14ac:dyDescent="0.25"/>
  <sheetData>
    <row r="1" spans="1:1" x14ac:dyDescent="0.25">
      <c r="A1" t="s">
        <v>182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 Stocks</vt:lpstr>
      <vt:lpstr>US Dashboard</vt:lpstr>
      <vt:lpstr>Tunisia Stocks</vt:lpstr>
      <vt:lpstr>Tun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2025-11-11T21:11:55Z</dcterms:created>
  <dcterms:modified xsi:type="dcterms:W3CDTF">2025-11-12T18:01:50Z</dcterms:modified>
</cp:coreProperties>
</file>